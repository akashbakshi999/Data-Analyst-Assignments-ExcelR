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kash\OneDrive\Desktop\Excel R\Final Assignments Excel R\"/>
    </mc:Choice>
  </mc:AlternateContent>
  <xr:revisionPtr revIDLastSave="0" documentId="13_ncr:1_{BA10D589-67B7-42CD-9A0E-B4816996A585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Ass 7.1" sheetId="16" r:id="rId1"/>
    <sheet name="Ass 8" sheetId="12" r:id="rId2"/>
    <sheet name="Ass 8.1" sheetId="13" r:id="rId3"/>
    <sheet name="Ass 8.2" sheetId="14" r:id="rId4"/>
    <sheet name="Assignment 9" sheetId="17" r:id="rId5"/>
  </sheets>
  <externalReferences>
    <externalReference r:id="rId6"/>
  </externalReferences>
  <definedNames>
    <definedName name="_xlnm._FilterDatabase" localSheetId="0" hidden="1">'Ass 7.1'!$A$3:$F$70</definedName>
    <definedName name="Basic_Salary">#REF!</definedName>
    <definedName name="C_Code">#REF!</definedName>
    <definedName name="_xlnm.Criteria" localSheetId="0">'Ass 7.1'!$H$1:$M$2</definedName>
    <definedName name="Department">#REF!</definedName>
    <definedName name="Gender">#REF!</definedName>
    <definedName name="Grade">#REF!</definedName>
    <definedName name="Manager_name">#REF!</definedName>
    <definedName name="Region">#REF!</definedName>
    <definedName name="Score">#REF!</definedName>
    <definedName name="Score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9" i="17" l="1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K9" i="17"/>
  <c r="K10" i="17"/>
  <c r="K11" i="17"/>
  <c r="K12" i="17"/>
  <c r="K13" i="17"/>
  <c r="K14" i="17"/>
  <c r="K15" i="17"/>
  <c r="K16" i="17"/>
  <c r="K17" i="17"/>
  <c r="K18" i="17"/>
  <c r="K19" i="17"/>
  <c r="K20" i="17"/>
  <c r="K21" i="17"/>
  <c r="K22" i="17"/>
  <c r="K23" i="17"/>
  <c r="K24" i="17"/>
  <c r="K25" i="17"/>
  <c r="K26" i="17"/>
  <c r="K27" i="17"/>
  <c r="K28" i="17"/>
  <c r="K29" i="17"/>
  <c r="K30" i="17"/>
  <c r="K31" i="17"/>
  <c r="K32" i="17"/>
  <c r="K33" i="17"/>
  <c r="K34" i="17"/>
  <c r="K35" i="17"/>
  <c r="K36" i="17"/>
  <c r="K37" i="17"/>
  <c r="K38" i="17"/>
  <c r="K39" i="17"/>
  <c r="K40" i="17"/>
  <c r="K41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H41" i="17"/>
  <c r="H40" i="17"/>
  <c r="H39" i="17"/>
  <c r="H38" i="17"/>
  <c r="H37" i="17"/>
  <c r="H36" i="17"/>
  <c r="H35" i="17"/>
  <c r="H34" i="17"/>
  <c r="H33" i="17"/>
  <c r="H32" i="17"/>
  <c r="H31" i="17"/>
  <c r="H30" i="17"/>
  <c r="H29" i="17"/>
  <c r="H28" i="17"/>
  <c r="H27" i="17"/>
  <c r="H26" i="17"/>
  <c r="H25" i="17"/>
  <c r="H24" i="17"/>
  <c r="H23" i="17"/>
  <c r="H22" i="17"/>
  <c r="H21" i="17"/>
  <c r="H20" i="17"/>
  <c r="H19" i="17"/>
  <c r="H18" i="17"/>
  <c r="H17" i="17"/>
  <c r="H16" i="17"/>
  <c r="H15" i="17"/>
  <c r="H14" i="17"/>
  <c r="H13" i="17"/>
  <c r="H12" i="17"/>
  <c r="H11" i="17"/>
  <c r="H10" i="17"/>
  <c r="H9" i="17"/>
  <c r="F4" i="16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D25" i="13"/>
  <c r="E23" i="13"/>
  <c r="F23" i="13" s="1"/>
  <c r="E22" i="13"/>
  <c r="F22" i="13" s="1"/>
  <c r="E21" i="13"/>
  <c r="F21" i="13" s="1"/>
  <c r="E20" i="13"/>
  <c r="F20" i="13" s="1"/>
  <c r="E19" i="13"/>
  <c r="E18" i="13"/>
  <c r="E17" i="13"/>
  <c r="E16" i="13"/>
  <c r="F16" i="13" s="1"/>
  <c r="E15" i="13"/>
  <c r="F15" i="13" s="1"/>
  <c r="E14" i="13"/>
  <c r="E13" i="13"/>
  <c r="E12" i="13"/>
  <c r="F12" i="13" s="1"/>
  <c r="E11" i="13"/>
  <c r="E10" i="13"/>
  <c r="F10" i="13" s="1"/>
  <c r="E9" i="13"/>
  <c r="F9" i="13" s="1"/>
  <c r="F8" i="13"/>
  <c r="E8" i="13"/>
  <c r="E7" i="13"/>
  <c r="F11" i="13" l="1"/>
  <c r="F19" i="13"/>
  <c r="F7" i="13"/>
  <c r="F13" i="13"/>
  <c r="F17" i="13"/>
  <c r="F18" i="13"/>
  <c r="F14" i="13"/>
</calcChain>
</file>

<file path=xl/sharedStrings.xml><?xml version="1.0" encoding="utf-8"?>
<sst xmlns="http://schemas.openxmlformats.org/spreadsheetml/2006/main" count="216" uniqueCount="48">
  <si>
    <t>Sales</t>
  </si>
  <si>
    <t>ID</t>
  </si>
  <si>
    <t>Segment</t>
  </si>
  <si>
    <t>Country</t>
  </si>
  <si>
    <t>Date</t>
  </si>
  <si>
    <t>Profit</t>
  </si>
  <si>
    <t>Channel Partners</t>
  </si>
  <si>
    <t>France</t>
  </si>
  <si>
    <t>Enterprise</t>
  </si>
  <si>
    <t>Government</t>
  </si>
  <si>
    <t>Midmarket</t>
  </si>
  <si>
    <t>Small Business</t>
  </si>
  <si>
    <t>Create Line Chart with Proper formatting</t>
  </si>
  <si>
    <t>Should be formatted as shown in picture</t>
  </si>
  <si>
    <t>Revenue'000</t>
  </si>
  <si>
    <t>Create Combo Chart with Proper formatting</t>
  </si>
  <si>
    <t>Running Total</t>
  </si>
  <si>
    <t>%</t>
  </si>
  <si>
    <t>Total</t>
  </si>
  <si>
    <t>Create Scatter Chart with Proper formatting</t>
  </si>
  <si>
    <t>X</t>
  </si>
  <si>
    <t>Y</t>
  </si>
  <si>
    <t>horsepower</t>
  </si>
  <si>
    <t>weight</t>
  </si>
  <si>
    <t>(X-XBAR)</t>
  </si>
  <si>
    <t>(Y-YBAR)</t>
  </si>
  <si>
    <t>Record a Macro to format the table of any size, with proper Number Formatting</t>
  </si>
  <si>
    <t>Note: Assign a Macro as a 'Command' into the 'Custom Tab'</t>
  </si>
  <si>
    <t>And Profit , Profit % calculation</t>
  </si>
  <si>
    <t>All amounts are in millions.</t>
  </si>
  <si>
    <t>Sales = (Quantity*Unit Price)+Shipping Cost</t>
  </si>
  <si>
    <t>Profit = (Quantity*Product Margin)-Shipping Cost</t>
  </si>
  <si>
    <t>Row ID</t>
  </si>
  <si>
    <t>Order Priority</t>
  </si>
  <si>
    <t>Quantity ordered</t>
  </si>
  <si>
    <t>Unit Price</t>
  </si>
  <si>
    <t>Shipping Cost</t>
  </si>
  <si>
    <t>Sales amount</t>
  </si>
  <si>
    <t>Product Margin per unit</t>
  </si>
  <si>
    <t>High</t>
  </si>
  <si>
    <t>Not Specified</t>
  </si>
  <si>
    <t>Critical</t>
  </si>
  <si>
    <t>Medium</t>
  </si>
  <si>
    <t>Low</t>
  </si>
  <si>
    <t>Quarter</t>
  </si>
  <si>
    <t>Q3</t>
  </si>
  <si>
    <t xml:space="preserve"> </t>
  </si>
  <si>
    <t>Profit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</si>
</sst>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₹&quot;\ #,##0;[Red]&quot;₹&quot;\ \-#,##0"/>
    <numFmt numFmtId="44" formatCode="_ &quot;₹&quot;\ * #,##0.00_ ;_ &quot;₹&quot;\ * \-#,##0.00_ ;_ &quot;₹&quot;\ * &quot;-&quot;??_ ;_ @_ "/>
    <numFmt numFmtId="167" formatCode="&quot;$&quot;#,##0_);[Red]\(&quot;$&quot;#,##0\)"/>
  </numFmts>
  <fonts count="9" x14ac:knownFonts="1">
    <font>
      <sz val="11"/>
      <color theme="1"/>
      <name val="Calibri"/>
      <family val="2"/>
      <scheme val="minor"/>
    </font>
    <font>
      <b/>
      <sz val="11"/>
      <color rgb="FFFF0000"/>
      <name val="Calibri"/>
    </font>
    <font>
      <b/>
      <sz val="11"/>
      <color theme="1"/>
      <name val="Calibri"/>
    </font>
    <font>
      <sz val="11"/>
      <color theme="1"/>
      <name val="Calibri"/>
    </font>
    <font>
      <sz val="11"/>
      <color theme="1"/>
      <name val="Calibri"/>
      <scheme val="minor"/>
    </font>
    <font>
      <sz val="11"/>
      <color rgb="FF000000"/>
      <name val="Calibri"/>
    </font>
    <font>
      <b/>
      <sz val="11"/>
      <color theme="0"/>
      <name val="Calibri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rgb="FF002060"/>
      </patternFill>
    </fill>
    <fill>
      <patternFill patternType="solid">
        <fgColor theme="9"/>
        <bgColor theme="9"/>
      </patternFill>
    </fill>
    <fill>
      <patternFill patternType="solid">
        <fgColor rgb="FFE2EFD9"/>
        <bgColor rgb="FFE2EFD9"/>
      </patternFill>
    </fill>
  </fills>
  <borders count="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A8D08D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3" fillId="0" borderId="3" xfId="0" applyFont="1" applyBorder="1"/>
    <xf numFmtId="0" fontId="1" fillId="0" borderId="0" xfId="0" applyFont="1"/>
    <xf numFmtId="0" fontId="4" fillId="0" borderId="0" xfId="0" applyFont="1"/>
    <xf numFmtId="0" fontId="5" fillId="0" borderId="0" xfId="0" applyFont="1"/>
    <xf numFmtId="14" fontId="3" fillId="0" borderId="0" xfId="0" applyNumberFormat="1" applyFont="1"/>
    <xf numFmtId="0" fontId="2" fillId="0" borderId="3" xfId="0" applyFont="1" applyBorder="1" applyAlignment="1">
      <alignment horizontal="center"/>
    </xf>
    <xf numFmtId="0" fontId="3" fillId="0" borderId="4" xfId="0" applyFont="1" applyBorder="1"/>
    <xf numFmtId="6" fontId="3" fillId="0" borderId="6" xfId="0" applyNumberFormat="1" applyFont="1" applyBorder="1"/>
    <xf numFmtId="0" fontId="3" fillId="0" borderId="1" xfId="0" applyFont="1" applyBorder="1"/>
    <xf numFmtId="6" fontId="3" fillId="0" borderId="3" xfId="0" applyNumberFormat="1" applyFont="1" applyBorder="1"/>
    <xf numFmtId="0" fontId="6" fillId="2" borderId="4" xfId="0" applyFont="1" applyFill="1" applyBorder="1"/>
    <xf numFmtId="0" fontId="6" fillId="2" borderId="6" xfId="0" applyFont="1" applyFill="1" applyBorder="1"/>
    <xf numFmtId="0" fontId="6" fillId="2" borderId="3" xfId="0" applyFont="1" applyFill="1" applyBorder="1"/>
    <xf numFmtId="9" fontId="3" fillId="0" borderId="3" xfId="0" applyNumberFormat="1" applyFont="1" applyBorder="1"/>
    <xf numFmtId="4" fontId="3" fillId="0" borderId="3" xfId="0" applyNumberFormat="1" applyFont="1" applyBorder="1"/>
    <xf numFmtId="167" fontId="3" fillId="0" borderId="0" xfId="0" applyNumberFormat="1" applyFont="1"/>
    <xf numFmtId="0" fontId="6" fillId="3" borderId="7" xfId="0" applyFont="1" applyFill="1" applyBorder="1"/>
    <xf numFmtId="0" fontId="3" fillId="4" borderId="7" xfId="0" applyFont="1" applyFill="1" applyBorder="1"/>
    <xf numFmtId="0" fontId="3" fillId="0" borderId="7" xfId="0" applyFont="1" applyBorder="1"/>
    <xf numFmtId="0" fontId="7" fillId="0" borderId="0" xfId="0" applyFont="1"/>
    <xf numFmtId="0" fontId="0" fillId="0" borderId="0" xfId="0" applyAlignment="1">
      <alignment horizontal="center" vertical="center"/>
    </xf>
    <xf numFmtId="167" fontId="3" fillId="0" borderId="5" xfId="0" applyNumberFormat="1" applyFont="1" applyBorder="1"/>
    <xf numFmtId="167" fontId="3" fillId="0" borderId="2" xfId="0" applyNumberFormat="1" applyFont="1" applyBorder="1"/>
    <xf numFmtId="167" fontId="0" fillId="0" borderId="0" xfId="0" applyNumberFormat="1"/>
    <xf numFmtId="9" fontId="0" fillId="0" borderId="0" xfId="0" applyNumberFormat="1"/>
    <xf numFmtId="4" fontId="0" fillId="0" borderId="0" xfId="0" applyNumberFormat="1"/>
    <xf numFmtId="49" fontId="0" fillId="0" borderId="8" xfId="0" applyNumberFormat="1" applyBorder="1"/>
    <xf numFmtId="0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NumberFormat="1"/>
  </cellXfs>
  <cellStyles count="1">
    <cellStyle name="Normal" xfId="0" builtinId="0"/>
  </cellStyles>
  <dxfs count="12">
    <dxf>
      <numFmt numFmtId="14" formatCode="0.00%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34" formatCode="_ &quot;₹&quot;\ * #,##0.00_ ;_ &quot;₹&quot;\ * \-#,##0.00_ ;_ &quot;₹&quot;\ * &quot;-&quot;??_ ;_ @_ "/>
      <alignment horizontal="center" vertical="center" textRotation="0" wrapText="0" indent="0" justifyLastLine="0" shrinkToFit="0" readingOrder="0"/>
    </dxf>
    <dxf>
      <numFmt numFmtId="34" formatCode="_ &quot;₹&quot;\ * #,##0.00_ ;_ &quot;₹&quot;\ * \-#,##0.00_ ;_ &quot;₹&quot;\ * &quot;-&quot;??_ ;_ @_ "/>
      <alignment horizontal="center" vertical="center" textRotation="0" wrapText="0" indent="0" justifyLastLine="0" shrinkToFit="0" readingOrder="0"/>
    </dxf>
    <dxf>
      <numFmt numFmtId="34" formatCode="_ &quot;₹&quot;\ * #,##0.00_ ;_ &quot;₹&quot;\ * \-#,##0.00_ ;_ &quot;₹&quot;\ * &quot;-&quot;??_ ;_ @_ "/>
      <alignment horizontal="center" vertical="center" textRotation="0" wrapText="0" indent="0" justifyLastLine="0" shrinkToFit="0" readingOrder="0"/>
    </dxf>
    <dxf>
      <numFmt numFmtId="34" formatCode="_ &quot;₹&quot;\ * #,##0.00_ ;_ &quot;₹&quot;\ * \-#,##0.00_ ;_ &quot;₹&quot;\ * &quot;-&quot;??_ ;_ 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2589578394069921"/>
          <c:y val="2.09474055181294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5589743589743589E-2"/>
          <c:y val="0.11426012499168425"/>
          <c:w val="0.90580531813865162"/>
          <c:h val="0.77636527876818262"/>
        </c:manualLayout>
      </c:layout>
      <c:scatterChart>
        <c:scatterStyle val="lineMarker"/>
        <c:varyColors val="0"/>
        <c:ser>
          <c:idx val="0"/>
          <c:order val="0"/>
          <c:tx>
            <c:strRef>
              <c:f>[1]Charts1!$D$5</c:f>
              <c:strCache>
                <c:ptCount val="1"/>
                <c:pt idx="0">
                  <c:v>Revenue'000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triang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dLbls>
            <c:numFmt formatCode="&quot;₹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[1]Charts1!$C$6:$C$20</c:f>
              <c:numCache>
                <c:formatCode>General</c:formatCode>
                <c:ptCount val="1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</c:numCache>
            </c:numRef>
          </c:xVal>
          <c:yVal>
            <c:numRef>
              <c:f>[1]Charts1!$D$6:$D$20</c:f>
              <c:numCache>
                <c:formatCode>General</c:formatCode>
                <c:ptCount val="15"/>
                <c:pt idx="0">
                  <c:v>2156</c:v>
                </c:pt>
                <c:pt idx="1">
                  <c:v>3562</c:v>
                </c:pt>
                <c:pt idx="2">
                  <c:v>7506</c:v>
                </c:pt>
                <c:pt idx="3">
                  <c:v>6258</c:v>
                </c:pt>
                <c:pt idx="4">
                  <c:v>6279</c:v>
                </c:pt>
                <c:pt idx="5">
                  <c:v>1963</c:v>
                </c:pt>
                <c:pt idx="6">
                  <c:v>6736</c:v>
                </c:pt>
                <c:pt idx="7">
                  <c:v>3280</c:v>
                </c:pt>
                <c:pt idx="8">
                  <c:v>8398</c:v>
                </c:pt>
                <c:pt idx="9">
                  <c:v>2882</c:v>
                </c:pt>
                <c:pt idx="10">
                  <c:v>4686</c:v>
                </c:pt>
                <c:pt idx="11">
                  <c:v>6976</c:v>
                </c:pt>
                <c:pt idx="12">
                  <c:v>2173</c:v>
                </c:pt>
                <c:pt idx="13">
                  <c:v>2166</c:v>
                </c:pt>
                <c:pt idx="14">
                  <c:v>8418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3A-4BB6-AE0A-F755C2B46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56143"/>
        <c:axId val="148255183"/>
      </c:scatterChart>
      <c:valAx>
        <c:axId val="148256143"/>
        <c:scaling>
          <c:orientation val="minMax"/>
          <c:max val="2004"/>
          <c:min val="199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6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55183"/>
        <c:crosses val="autoZero"/>
        <c:crossBetween val="midCat"/>
      </c:valAx>
      <c:valAx>
        <c:axId val="14825518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82561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'Ass 8.1'!$D$5</c:f>
              <c:strCache>
                <c:ptCount val="1"/>
                <c:pt idx="0">
                  <c:v>Revenue'000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accent3">
                  <a:alpha val="61000"/>
                </a:schemeClr>
              </a:solidFill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DEB-4EA2-AECE-802F595C64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DEB-4EA2-AECE-802F595C64B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DEB-4EA2-AECE-802F595C64B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DEB-4EA2-AECE-802F595C64BC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DEB-4EA2-AECE-802F595C64BC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DEB-4EA2-AECE-802F595C64BC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ellipsis" wrap="square" lIns="38100" tIns="19050" rIns="38100" bIns="19050" anchor="t" anchorCtr="0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DEB-4EA2-AECE-802F595C64BC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DEB-4EA2-AECE-802F595C64BC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EB-4EA2-AECE-802F595C64B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DEB-4EA2-AECE-802F595C64BC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DEB-4EA2-AECE-802F595C64B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DEB-4EA2-AECE-802F595C64BC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DEB-4EA2-AECE-802F595C64BC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DEB-4EA2-AECE-802F595C64BC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DEB-4EA2-AECE-802F595C64BC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DEB-4EA2-AECE-802F595C64BC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DEB-4EA2-AECE-802F595C64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t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'Ass 8.1'!$C$6:$C$23</c:f>
              <c:numCache>
                <c:formatCode>@</c:formatCode>
                <c:ptCount val="18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  <c:pt idx="17">
                  <c:v>2022</c:v>
                </c:pt>
              </c:numCache>
            </c:numRef>
          </c:cat>
          <c:val>
            <c:numRef>
              <c:f>'Ass 8.1'!$D$6:$D$23</c:f>
              <c:numCache>
                <c:formatCode>"$"#,##0_);[Red]\("$"#,##0\)</c:formatCode>
                <c:ptCount val="18"/>
                <c:pt idx="0">
                  <c:v>528</c:v>
                </c:pt>
                <c:pt idx="1">
                  <c:v>4550</c:v>
                </c:pt>
                <c:pt idx="2">
                  <c:v>8189</c:v>
                </c:pt>
                <c:pt idx="3">
                  <c:v>1730</c:v>
                </c:pt>
                <c:pt idx="4">
                  <c:v>5262</c:v>
                </c:pt>
                <c:pt idx="5">
                  <c:v>2172</c:v>
                </c:pt>
                <c:pt idx="6">
                  <c:v>4384</c:v>
                </c:pt>
                <c:pt idx="7">
                  <c:v>8709</c:v>
                </c:pt>
                <c:pt idx="8">
                  <c:v>3618</c:v>
                </c:pt>
                <c:pt idx="9">
                  <c:v>6372</c:v>
                </c:pt>
                <c:pt idx="10">
                  <c:v>3456</c:v>
                </c:pt>
                <c:pt idx="11">
                  <c:v>7478</c:v>
                </c:pt>
                <c:pt idx="12">
                  <c:v>4649</c:v>
                </c:pt>
                <c:pt idx="13">
                  <c:v>5831</c:v>
                </c:pt>
                <c:pt idx="14">
                  <c:v>1599</c:v>
                </c:pt>
                <c:pt idx="15">
                  <c:v>3695</c:v>
                </c:pt>
                <c:pt idx="16">
                  <c:v>1678</c:v>
                </c:pt>
                <c:pt idx="17">
                  <c:v>3490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EB-4EA2-AECE-802F595C6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0405104"/>
        <c:axId val="172040270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'Ass 8.1'!$C$5</c15:sqref>
                        </c15:formulaRef>
                      </c:ext>
                    </c:extLst>
                    <c:strCache>
                      <c:ptCount val="1"/>
                      <c:pt idx="0">
                        <c:v>Date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'Ass 8.1'!$C$6:$C$23</c15:sqref>
                        </c15:formulaRef>
                      </c:ext>
                    </c:extLst>
                    <c:numCache>
                      <c:formatCode>@</c:formatCode>
                      <c:ptCount val="18"/>
                      <c:pt idx="0">
                        <c:v>2005</c:v>
                      </c:pt>
                      <c:pt idx="1">
                        <c:v>2006</c:v>
                      </c:pt>
                      <c:pt idx="2">
                        <c:v>2007</c:v>
                      </c:pt>
                      <c:pt idx="3">
                        <c:v>2008</c:v>
                      </c:pt>
                      <c:pt idx="4">
                        <c:v>2009</c:v>
                      </c:pt>
                      <c:pt idx="5">
                        <c:v>2010</c:v>
                      </c:pt>
                      <c:pt idx="6">
                        <c:v>2011</c:v>
                      </c:pt>
                      <c:pt idx="7">
                        <c:v>2012</c:v>
                      </c:pt>
                      <c:pt idx="8">
                        <c:v>2013</c:v>
                      </c:pt>
                      <c:pt idx="9">
                        <c:v>2014</c:v>
                      </c:pt>
                      <c:pt idx="10">
                        <c:v>2015</c:v>
                      </c:pt>
                      <c:pt idx="11">
                        <c:v>2016</c:v>
                      </c:pt>
                      <c:pt idx="12">
                        <c:v>2017</c:v>
                      </c:pt>
                      <c:pt idx="13">
                        <c:v>2018</c:v>
                      </c:pt>
                      <c:pt idx="14">
                        <c:v>2019</c:v>
                      </c:pt>
                      <c:pt idx="15">
                        <c:v>2020</c:v>
                      </c:pt>
                      <c:pt idx="16">
                        <c:v>2021</c:v>
                      </c:pt>
                      <c:pt idx="17">
                        <c:v>2022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'Ass 8.1'!$C$6:$C$23</c15:sqref>
                        </c15:formulaRef>
                      </c:ext>
                    </c:extLst>
                    <c:numCache>
                      <c:formatCode>@</c:formatCode>
                      <c:ptCount val="18"/>
                      <c:pt idx="0">
                        <c:v>2005</c:v>
                      </c:pt>
                      <c:pt idx="1">
                        <c:v>2006</c:v>
                      </c:pt>
                      <c:pt idx="2">
                        <c:v>2007</c:v>
                      </c:pt>
                      <c:pt idx="3">
                        <c:v>2008</c:v>
                      </c:pt>
                      <c:pt idx="4">
                        <c:v>2009</c:v>
                      </c:pt>
                      <c:pt idx="5">
                        <c:v>2010</c:v>
                      </c:pt>
                      <c:pt idx="6">
                        <c:v>2011</c:v>
                      </c:pt>
                      <c:pt idx="7">
                        <c:v>2012</c:v>
                      </c:pt>
                      <c:pt idx="8">
                        <c:v>2013</c:v>
                      </c:pt>
                      <c:pt idx="9">
                        <c:v>2014</c:v>
                      </c:pt>
                      <c:pt idx="10">
                        <c:v>2015</c:v>
                      </c:pt>
                      <c:pt idx="11">
                        <c:v>2016</c:v>
                      </c:pt>
                      <c:pt idx="12">
                        <c:v>2017</c:v>
                      </c:pt>
                      <c:pt idx="13">
                        <c:v>2018</c:v>
                      </c:pt>
                      <c:pt idx="14">
                        <c:v>2019</c:v>
                      </c:pt>
                      <c:pt idx="15">
                        <c:v>2020</c:v>
                      </c:pt>
                      <c:pt idx="16">
                        <c:v>2021</c:v>
                      </c:pt>
                      <c:pt idx="17">
                        <c:v>2022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FDEB-4EA2-AECE-802F595C64BC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2"/>
          <c:tx>
            <c:strRef>
              <c:f>'Ass 8.1'!$F$5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tx1"/>
              </a:solidFill>
              <a:ln w="9525" cmpd="tri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'Ass 8.1'!$F$6:$F$23</c:f>
              <c:numCache>
                <c:formatCode>0%</c:formatCode>
                <c:ptCount val="18"/>
                <c:pt idx="1">
                  <c:v>6.5615712624370076E-2</c:v>
                </c:pt>
                <c:pt idx="2">
                  <c:v>0.17143041736658482</c:v>
                </c:pt>
                <c:pt idx="3">
                  <c:v>0.19378472670887711</c:v>
                </c:pt>
                <c:pt idx="4">
                  <c:v>0.26177800749450836</c:v>
                </c:pt>
                <c:pt idx="5">
                  <c:v>0.28984364905026488</c:v>
                </c:pt>
                <c:pt idx="6">
                  <c:v>0.34649179480553044</c:v>
                </c:pt>
                <c:pt idx="7">
                  <c:v>0.45902571391652669</c:v>
                </c:pt>
                <c:pt idx="8">
                  <c:v>0.50577594004393334</c:v>
                </c:pt>
                <c:pt idx="9">
                  <c:v>0.58811215919369431</c:v>
                </c:pt>
                <c:pt idx="10">
                  <c:v>0.6327690916139036</c:v>
                </c:pt>
                <c:pt idx="11">
                  <c:v>0.72939656286341903</c:v>
                </c:pt>
                <c:pt idx="12">
                  <c:v>0.78946892363354437</c:v>
                </c:pt>
                <c:pt idx="13">
                  <c:v>0.86481457552655383</c:v>
                </c:pt>
                <c:pt idx="14">
                  <c:v>0.88547615971055693</c:v>
                </c:pt>
                <c:pt idx="15">
                  <c:v>0.93322134642718702</c:v>
                </c:pt>
                <c:pt idx="16">
                  <c:v>0.95490373433260112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EB-4EA2-AECE-802F595C6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3156528"/>
        <c:axId val="1720404624"/>
      </c:lineChart>
      <c:catAx>
        <c:axId val="1720405104"/>
        <c:scaling>
          <c:orientation val="minMax"/>
        </c:scaling>
        <c:delete val="0"/>
        <c:axPos val="b"/>
        <c:numFmt formatCode="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0402704"/>
        <c:crosses val="autoZero"/>
        <c:auto val="1"/>
        <c:lblAlgn val="ctr"/>
        <c:lblOffset val="100"/>
        <c:noMultiLvlLbl val="0"/>
      </c:catAx>
      <c:valAx>
        <c:axId val="172040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0405104"/>
        <c:crosses val="autoZero"/>
        <c:crossBetween val="between"/>
      </c:valAx>
      <c:valAx>
        <c:axId val="17204046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156528"/>
        <c:crosses val="max"/>
        <c:crossBetween val="between"/>
      </c:valAx>
      <c:catAx>
        <c:axId val="1723156528"/>
        <c:scaling>
          <c:orientation val="minMax"/>
        </c:scaling>
        <c:delete val="1"/>
        <c:axPos val="b"/>
        <c:majorTickMark val="out"/>
        <c:minorTickMark val="none"/>
        <c:tickLblPos val="nextTo"/>
        <c:crossAx val="17204046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Weight vs</a:t>
            </a:r>
            <a:r>
              <a:rPr lang="en-US" baseline="0"/>
              <a:t> Horsepower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'Ass 8.2'!$D$5</c:f>
              <c:strCache>
                <c:ptCount val="1"/>
                <c:pt idx="0">
                  <c:v>weight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50D7-4ED3-A05E-869FCC4A07CF}"/>
              </c:ext>
            </c:extLst>
          </c:dPt>
          <c:trendline>
            <c:spPr>
              <a:ln w="28575" cap="rnd">
                <a:solidFill>
                  <a:schemeClr val="accent2">
                    <a:lumMod val="50000"/>
                  </a:schemeClr>
                </a:solidFill>
                <a:prstDash val="dash"/>
                <a:headEnd type="oval" w="med" len="lg"/>
                <a:tailEnd type="triangle" w="lg" len="me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8.2383202099737526E-2"/>
                  <c:y val="-6.134113444152816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'Ass 8.2'!$C$6:$C$37</c:f>
              <c:numCache>
                <c:formatCode>General</c:formatCode>
                <c:ptCount val="32"/>
                <c:pt idx="0">
                  <c:v>130</c:v>
                </c:pt>
                <c:pt idx="1">
                  <c:v>165</c:v>
                </c:pt>
                <c:pt idx="2">
                  <c:v>150</c:v>
                </c:pt>
                <c:pt idx="3">
                  <c:v>150</c:v>
                </c:pt>
                <c:pt idx="4">
                  <c:v>140</c:v>
                </c:pt>
                <c:pt idx="5">
                  <c:v>198</c:v>
                </c:pt>
                <c:pt idx="6">
                  <c:v>220</c:v>
                </c:pt>
                <c:pt idx="7">
                  <c:v>215</c:v>
                </c:pt>
                <c:pt idx="8">
                  <c:v>225</c:v>
                </c:pt>
                <c:pt idx="9">
                  <c:v>190</c:v>
                </c:pt>
                <c:pt idx="10">
                  <c:v>170</c:v>
                </c:pt>
                <c:pt idx="11">
                  <c:v>160</c:v>
                </c:pt>
                <c:pt idx="12">
                  <c:v>150</c:v>
                </c:pt>
                <c:pt idx="13">
                  <c:v>225</c:v>
                </c:pt>
                <c:pt idx="14">
                  <c:v>95</c:v>
                </c:pt>
                <c:pt idx="15">
                  <c:v>95</c:v>
                </c:pt>
                <c:pt idx="16">
                  <c:v>97</c:v>
                </c:pt>
                <c:pt idx="17">
                  <c:v>85</c:v>
                </c:pt>
                <c:pt idx="18">
                  <c:v>88</c:v>
                </c:pt>
                <c:pt idx="19">
                  <c:v>46</c:v>
                </c:pt>
                <c:pt idx="20">
                  <c:v>87</c:v>
                </c:pt>
                <c:pt idx="21">
                  <c:v>90</c:v>
                </c:pt>
                <c:pt idx="22">
                  <c:v>95</c:v>
                </c:pt>
                <c:pt idx="23">
                  <c:v>113</c:v>
                </c:pt>
                <c:pt idx="24">
                  <c:v>90</c:v>
                </c:pt>
                <c:pt idx="25">
                  <c:v>215</c:v>
                </c:pt>
                <c:pt idx="26">
                  <c:v>200</c:v>
                </c:pt>
                <c:pt idx="27">
                  <c:v>210</c:v>
                </c:pt>
                <c:pt idx="28">
                  <c:v>193</c:v>
                </c:pt>
                <c:pt idx="29">
                  <c:v>88</c:v>
                </c:pt>
                <c:pt idx="30">
                  <c:v>90</c:v>
                </c:pt>
                <c:pt idx="31">
                  <c:v>95</c:v>
                </c:pt>
              </c:numCache>
            </c:numRef>
          </c:xVal>
          <c:yVal>
            <c:numRef>
              <c:f>'Ass 8.2'!$D$6:$D$37</c:f>
              <c:numCache>
                <c:formatCode>General</c:formatCode>
                <c:ptCount val="32"/>
                <c:pt idx="0">
                  <c:v>3504</c:v>
                </c:pt>
                <c:pt idx="1">
                  <c:v>3693</c:v>
                </c:pt>
                <c:pt idx="2">
                  <c:v>3436</c:v>
                </c:pt>
                <c:pt idx="3">
                  <c:v>3433</c:v>
                </c:pt>
                <c:pt idx="4">
                  <c:v>3449</c:v>
                </c:pt>
                <c:pt idx="5">
                  <c:v>4341</c:v>
                </c:pt>
                <c:pt idx="6">
                  <c:v>4354</c:v>
                </c:pt>
                <c:pt idx="7">
                  <c:v>4312</c:v>
                </c:pt>
                <c:pt idx="8">
                  <c:v>4425</c:v>
                </c:pt>
                <c:pt idx="9">
                  <c:v>3850</c:v>
                </c:pt>
                <c:pt idx="10">
                  <c:v>3563</c:v>
                </c:pt>
                <c:pt idx="11">
                  <c:v>3609</c:v>
                </c:pt>
                <c:pt idx="12">
                  <c:v>3761</c:v>
                </c:pt>
                <c:pt idx="13">
                  <c:v>3086</c:v>
                </c:pt>
                <c:pt idx="14">
                  <c:v>2372</c:v>
                </c:pt>
                <c:pt idx="15">
                  <c:v>2833</c:v>
                </c:pt>
                <c:pt idx="16">
                  <c:v>2774</c:v>
                </c:pt>
                <c:pt idx="17">
                  <c:v>2587</c:v>
                </c:pt>
                <c:pt idx="18">
                  <c:v>2130</c:v>
                </c:pt>
                <c:pt idx="19">
                  <c:v>1835</c:v>
                </c:pt>
                <c:pt idx="20">
                  <c:v>2672</c:v>
                </c:pt>
                <c:pt idx="21">
                  <c:v>2430</c:v>
                </c:pt>
                <c:pt idx="22">
                  <c:v>2375</c:v>
                </c:pt>
                <c:pt idx="23">
                  <c:v>2234</c:v>
                </c:pt>
                <c:pt idx="24">
                  <c:v>2648</c:v>
                </c:pt>
                <c:pt idx="25">
                  <c:v>4615</c:v>
                </c:pt>
                <c:pt idx="26">
                  <c:v>4376</c:v>
                </c:pt>
                <c:pt idx="27">
                  <c:v>4382</c:v>
                </c:pt>
                <c:pt idx="28">
                  <c:v>4732</c:v>
                </c:pt>
                <c:pt idx="29">
                  <c:v>2130</c:v>
                </c:pt>
                <c:pt idx="30">
                  <c:v>2264</c:v>
                </c:pt>
                <c:pt idx="31">
                  <c:v>2228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D7-4ED3-A05E-869FCC4A0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95168"/>
        <c:axId val="1798197088"/>
      </c:scatterChart>
      <c:valAx>
        <c:axId val="1798195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197088"/>
        <c:crosses val="autoZero"/>
        <c:crossBetween val="midCat"/>
      </c:valAx>
      <c:valAx>
        <c:axId val="179819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195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91440</xdr:colOff>
      <xdr:row>27</xdr:row>
      <xdr:rowOff>137160</xdr:rowOff>
    </xdr:from>
    <xdr:to>
      <xdr:col>15</xdr:col>
      <xdr:colOff>152775</xdr:colOff>
      <xdr:row>32</xdr:row>
      <xdr:rowOff>53340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4B2B3A0-EAE9-4FA4-BD87-7389FD8E0B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5440" y="1600200"/>
          <a:ext cx="4328535" cy="8305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268605</xdr:colOff>
      <xdr:row>5</xdr:row>
      <xdr:rowOff>156210</xdr:rowOff>
    </xdr:from>
    <xdr:ext cx="4572000" cy="1809750"/>
    <xdr:pic>
      <xdr:nvPicPr>
        <xdr:cNvPr id="2" name="image2.png">
          <a:extLst>
            <a:ext uri="{FF2B5EF4-FFF2-40B4-BE49-F238E27FC236}">
              <a16:creationId xmlns:a16="http://schemas.microsoft.com/office/drawing/2014/main" id="{A2FFF28F-7490-4909-B96A-02E6F5DAE5B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606665" y="1032510"/>
          <a:ext cx="4572000" cy="1809750"/>
        </a:xfrm>
        <a:prstGeom prst="rect">
          <a:avLst/>
        </a:prstGeom>
        <a:noFill/>
      </xdr:spPr>
    </xdr:pic>
    <xdr:clientData fLocksWithSheet="0"/>
  </xdr:oneCellAnchor>
  <xdr:twoCellAnchor>
    <xdr:from>
      <xdr:col>4</xdr:col>
      <xdr:colOff>162316</xdr:colOff>
      <xdr:row>5</xdr:row>
      <xdr:rowOff>169992</xdr:rowOff>
    </xdr:from>
    <xdr:to>
      <xdr:col>11</xdr:col>
      <xdr:colOff>585650</xdr:colOff>
      <xdr:row>16</xdr:row>
      <xdr:rowOff>51723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6A6F6AB-91D3-4163-BFEE-293E9AD7FE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417195</xdr:colOff>
      <xdr:row>5</xdr:row>
      <xdr:rowOff>51435</xdr:rowOff>
    </xdr:from>
    <xdr:ext cx="3905250" cy="2569845"/>
    <xdr:pic>
      <xdr:nvPicPr>
        <xdr:cNvPr id="2" name="image1.png">
          <a:extLst>
            <a:ext uri="{FF2B5EF4-FFF2-40B4-BE49-F238E27FC236}">
              <a16:creationId xmlns:a16="http://schemas.microsoft.com/office/drawing/2014/main" id="{123BAE76-B854-468F-9242-0B95D3B972C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812655" y="927735"/>
          <a:ext cx="3905250" cy="2569845"/>
        </a:xfrm>
        <a:prstGeom prst="rect">
          <a:avLst/>
        </a:prstGeom>
        <a:noFill/>
      </xdr:spPr>
    </xdr:pic>
    <xdr:clientData fLocksWithSheet="0"/>
  </xdr:oneCellAnchor>
  <xdr:twoCellAnchor>
    <xdr:from>
      <xdr:col>6</xdr:col>
      <xdr:colOff>426720</xdr:colOff>
      <xdr:row>4</xdr:row>
      <xdr:rowOff>125730</xdr:rowOff>
    </xdr:from>
    <xdr:to>
      <xdr:col>15</xdr:col>
      <xdr:colOff>289560</xdr:colOff>
      <xdr:row>19</xdr:row>
      <xdr:rowOff>137160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5A2ADB57-8DE9-3CE9-531B-3C992771FC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552450</xdr:colOff>
      <xdr:row>3</xdr:row>
      <xdr:rowOff>57150</xdr:rowOff>
    </xdr:from>
    <xdr:ext cx="6057900" cy="3848100"/>
    <xdr:pic>
      <xdr:nvPicPr>
        <xdr:cNvPr id="2" name="image3.png">
          <a:extLst>
            <a:ext uri="{FF2B5EF4-FFF2-40B4-BE49-F238E27FC236}">
              <a16:creationId xmlns:a16="http://schemas.microsoft.com/office/drawing/2014/main" id="{5E8A0B53-C3CA-475C-8218-DB45FA76ADCC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44790" y="582930"/>
          <a:ext cx="6057900" cy="3848100"/>
        </a:xfrm>
        <a:prstGeom prst="rect">
          <a:avLst/>
        </a:prstGeom>
        <a:noFill/>
      </xdr:spPr>
    </xdr:pic>
    <xdr:clientData fLocksWithSheet="0"/>
  </xdr:oneCellAnchor>
  <xdr:twoCellAnchor>
    <xdr:from>
      <xdr:col>4</xdr:col>
      <xdr:colOff>411480</xdr:colOff>
      <xdr:row>5</xdr:row>
      <xdr:rowOff>11430</xdr:rowOff>
    </xdr:from>
    <xdr:to>
      <xdr:col>12</xdr:col>
      <xdr:colOff>228600</xdr:colOff>
      <xdr:row>25</xdr:row>
      <xdr:rowOff>15240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254F370-D730-41CF-FB94-17FAD93FAA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365760</xdr:colOff>
      <xdr:row>7</xdr:row>
      <xdr:rowOff>137160</xdr:rowOff>
    </xdr:from>
    <xdr:to>
      <xdr:col>15</xdr:col>
      <xdr:colOff>388620</xdr:colOff>
      <xdr:row>10</xdr:row>
      <xdr:rowOff>91440</xdr:rowOff>
    </xdr:to>
    <xdr:sp macro="[0]!Command" textlink="">
      <xdr:nvSpPr>
        <xdr:cNvPr id="2" name="Rectangle 1">
          <a:extLst>
            <a:ext uri="{FF2B5EF4-FFF2-40B4-BE49-F238E27FC236}">
              <a16:creationId xmlns:a16="http://schemas.microsoft.com/office/drawing/2014/main" id="{AC23F35C-C93E-4BD2-A5E3-ED488B46D872}"/>
            </a:ext>
          </a:extLst>
        </xdr:cNvPr>
        <xdr:cNvSpPr/>
      </xdr:nvSpPr>
      <xdr:spPr>
        <a:xfrm>
          <a:off x="10683240" y="1417320"/>
          <a:ext cx="1242060" cy="5029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Command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kash\OneDrive\Desktop\Excel%20R\Excel\Chaitanya%20Assignment\Assignment%20Day%208.xlsx" TargetMode="External"/><Relationship Id="rId1" Type="http://schemas.openxmlformats.org/officeDocument/2006/relationships/externalLinkPath" Target="/Users/akash/OneDrive/Desktop/Excel%20R/Excel/Chaitanya%20Assignment/Assignment%20Day%2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arts1"/>
      <sheetName val="Charts2"/>
      <sheetName val="Charts3"/>
    </sheetNames>
    <sheetDataSet>
      <sheetData sheetId="0">
        <row r="5">
          <cell r="D5" t="str">
            <v>Revenue'000</v>
          </cell>
        </row>
        <row r="6">
          <cell r="C6">
            <v>1990</v>
          </cell>
          <cell r="D6">
            <v>2156</v>
          </cell>
        </row>
        <row r="7">
          <cell r="C7">
            <v>1991</v>
          </cell>
          <cell r="D7">
            <v>3562</v>
          </cell>
        </row>
        <row r="8">
          <cell r="C8">
            <v>1992</v>
          </cell>
          <cell r="D8">
            <v>7506</v>
          </cell>
        </row>
        <row r="9">
          <cell r="C9">
            <v>1993</v>
          </cell>
          <cell r="D9">
            <v>6258</v>
          </cell>
        </row>
        <row r="10">
          <cell r="C10">
            <v>1994</v>
          </cell>
          <cell r="D10">
            <v>6279</v>
          </cell>
        </row>
        <row r="11">
          <cell r="C11">
            <v>1995</v>
          </cell>
          <cell r="D11">
            <v>1963</v>
          </cell>
        </row>
        <row r="12">
          <cell r="C12">
            <v>1996</v>
          </cell>
          <cell r="D12">
            <v>6736</v>
          </cell>
        </row>
        <row r="13">
          <cell r="C13">
            <v>1997</v>
          </cell>
          <cell r="D13">
            <v>3280</v>
          </cell>
        </row>
        <row r="14">
          <cell r="C14">
            <v>1998</v>
          </cell>
          <cell r="D14">
            <v>8398</v>
          </cell>
        </row>
        <row r="15">
          <cell r="C15">
            <v>1999</v>
          </cell>
          <cell r="D15">
            <v>2882</v>
          </cell>
        </row>
        <row r="16">
          <cell r="C16">
            <v>2000</v>
          </cell>
          <cell r="D16">
            <v>4686</v>
          </cell>
        </row>
        <row r="17">
          <cell r="C17">
            <v>2001</v>
          </cell>
          <cell r="D17">
            <v>6976</v>
          </cell>
        </row>
        <row r="18">
          <cell r="C18">
            <v>2002</v>
          </cell>
          <cell r="D18">
            <v>2173</v>
          </cell>
        </row>
        <row r="19">
          <cell r="C19">
            <v>2003</v>
          </cell>
          <cell r="D19">
            <v>2166</v>
          </cell>
        </row>
        <row r="20">
          <cell r="C20">
            <v>2004</v>
          </cell>
          <cell r="D20">
            <v>8418</v>
          </cell>
        </row>
      </sheetData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9D65A8-DDAE-4A4B-85C9-51BC1E59E7FE}" name="Table1" displayName="Table1" ref="C8:L41" totalsRowShown="0" headerRowDxfId="11" dataDxfId="10">
  <autoFilter ref="C8:L41" xr:uid="{F79D65A8-DDAE-4A4B-85C9-51BC1E59E7FE}"/>
  <tableColumns count="10">
    <tableColumn id="1" xr3:uid="{7233EFEF-2BA4-4099-8C27-0F8DFA5C40E0}" name="Row ID" dataDxfId="9"/>
    <tableColumn id="2" xr3:uid="{5D40B8E9-F46D-487B-88C7-9546F9CFB64F}" name="Order Priority" dataDxfId="8"/>
    <tableColumn id="3" xr3:uid="{819FEF9F-D755-4186-AFC9-70F4B2A2C26C}" name="Quantity ordered" dataDxfId="7"/>
    <tableColumn id="4" xr3:uid="{FEBB64F1-6C63-4A7F-A5DA-4B7BFF3738B1}" name="Unit Price" dataDxfId="6"/>
    <tableColumn id="5" xr3:uid="{2559198E-FA44-492C-ACD0-A5AB16863EE2}" name="Shipping Cost" dataDxfId="5"/>
    <tableColumn id="12" xr3:uid="{200580AE-13B3-4FBB-B896-79F8E92E2A79}" name="Sales amount" dataDxfId="4">
      <calculatedColumnFormula>Table1[[#This Row],[Unit Price]]*Table1[[#This Row],[Quantity ordered]]</calculatedColumnFormula>
    </tableColumn>
    <tableColumn id="13" xr3:uid="{25D69888-ADF4-407C-AAC8-148ED19D5A16}" name="Product Margin per unit" dataDxfId="3"/>
    <tableColumn id="14" xr3:uid="{6D012956-5681-490F-A53E-9132AB3FE784}" name="Sales" dataDxfId="2">
      <calculatedColumnFormula>(Table1[[#This Row],[Quantity ordered]]*Table1[[#This Row],[Unit Price]])+Table1[[#This Row],[Shipping Cost]]</calculatedColumnFormula>
    </tableColumn>
    <tableColumn id="6" xr3:uid="{EA23CA40-6852-4652-9C84-F45CE3596E23}" name="Profit" dataDxfId="1">
      <calculatedColumnFormula>(Table1[[#This Row],[Quantity ordered]]*Table1[[#This Row],[Product Margin per unit]])-Table1[[#This Row],[Shipping Cost]]</calculatedColumnFormula>
    </tableColumn>
    <tableColumn id="7" xr3:uid="{28FF4427-FE66-4E0A-82FB-2455196F5877}" name="Profit %" dataDxfId="0">
      <calculatedColumnFormula>Table1[[#This Row],[Profit]]/Table1[[#This Row],[Shipping Cost]]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C9C13-265F-46AD-AB4E-A3E7B1B574C2}">
  <sheetPr codeName="Sheet1" filterMode="1"/>
  <dimension ref="A1:M70"/>
  <sheetViews>
    <sheetView workbookViewId="0">
      <selection activeCell="N37" sqref="N37"/>
    </sheetView>
  </sheetViews>
  <sheetFormatPr defaultRowHeight="14.4" x14ac:dyDescent="0.3"/>
  <cols>
    <col min="4" max="4" width="11.88671875" customWidth="1"/>
    <col min="6" max="6" width="12.5546875" customWidth="1"/>
  </cols>
  <sheetData>
    <row r="1" spans="1:13" x14ac:dyDescent="0.3">
      <c r="H1" s="3" t="s">
        <v>1</v>
      </c>
      <c r="I1" s="4" t="s">
        <v>2</v>
      </c>
      <c r="J1" s="4" t="s">
        <v>3</v>
      </c>
      <c r="K1" s="4" t="s">
        <v>4</v>
      </c>
      <c r="L1" s="4" t="s">
        <v>5</v>
      </c>
      <c r="M1" s="4" t="s">
        <v>44</v>
      </c>
    </row>
    <row r="2" spans="1:13" x14ac:dyDescent="0.3">
      <c r="H2" s="3"/>
      <c r="I2" s="4"/>
      <c r="J2" s="4"/>
      <c r="K2" s="5"/>
      <c r="L2" s="4"/>
      <c r="M2" t="s">
        <v>45</v>
      </c>
    </row>
    <row r="3" spans="1:13" x14ac:dyDescent="0.3">
      <c r="A3" s="3" t="s">
        <v>1</v>
      </c>
      <c r="B3" s="4" t="s">
        <v>2</v>
      </c>
      <c r="C3" s="4" t="s">
        <v>3</v>
      </c>
      <c r="D3" s="4" t="s">
        <v>4</v>
      </c>
      <c r="E3" s="4" t="s">
        <v>5</v>
      </c>
      <c r="F3" s="4" t="s">
        <v>44</v>
      </c>
    </row>
    <row r="4" spans="1:13" hidden="1" x14ac:dyDescent="0.3">
      <c r="A4" s="3">
        <v>13</v>
      </c>
      <c r="B4" s="4" t="s">
        <v>9</v>
      </c>
      <c r="C4" s="4" t="s">
        <v>7</v>
      </c>
      <c r="D4" s="5">
        <v>44531</v>
      </c>
      <c r="E4" s="4">
        <v>201069</v>
      </c>
      <c r="F4" t="str">
        <f>"Q" &amp; INT((MONTH(D4) + 2) / 3)</f>
        <v>Q4</v>
      </c>
    </row>
    <row r="5" spans="1:13" hidden="1" x14ac:dyDescent="0.3">
      <c r="A5" s="3">
        <v>32</v>
      </c>
      <c r="B5" s="4" t="s">
        <v>11</v>
      </c>
      <c r="C5" s="4" t="s">
        <v>7</v>
      </c>
      <c r="D5" s="5">
        <v>44531</v>
      </c>
      <c r="E5" s="4">
        <v>82089</v>
      </c>
      <c r="F5" t="str">
        <f>"Q" &amp; INT((MONTH(D5) + 2) / 3)</f>
        <v>Q4</v>
      </c>
    </row>
    <row r="6" spans="1:13" hidden="1" x14ac:dyDescent="0.3">
      <c r="A6" s="3">
        <v>125</v>
      </c>
      <c r="B6" s="4" t="s">
        <v>9</v>
      </c>
      <c r="C6" s="4" t="s">
        <v>7</v>
      </c>
      <c r="D6" s="5">
        <v>44531</v>
      </c>
      <c r="E6" s="3">
        <v>9682</v>
      </c>
      <c r="F6" t="str">
        <f t="shared" ref="F6:F68" si="0">"Q" &amp; INT((MONTH(D6) + 2) / 3)</f>
        <v>Q4</v>
      </c>
    </row>
    <row r="7" spans="1:13" hidden="1" x14ac:dyDescent="0.3">
      <c r="A7" s="3">
        <v>164</v>
      </c>
      <c r="B7" s="4" t="s">
        <v>6</v>
      </c>
      <c r="C7" s="4" t="s">
        <v>7</v>
      </c>
      <c r="D7" s="5">
        <v>44531</v>
      </c>
      <c r="E7" s="3">
        <v>112636</v>
      </c>
      <c r="F7" t="str">
        <f t="shared" si="0"/>
        <v>Q4</v>
      </c>
    </row>
    <row r="8" spans="1:13" hidden="1" x14ac:dyDescent="0.3">
      <c r="A8" s="3">
        <v>203</v>
      </c>
      <c r="B8" s="4" t="s">
        <v>8</v>
      </c>
      <c r="C8" s="4" t="s">
        <v>7</v>
      </c>
      <c r="D8" s="5">
        <v>44531</v>
      </c>
      <c r="E8" s="3">
        <v>71529</v>
      </c>
      <c r="F8" t="str">
        <f t="shared" si="0"/>
        <v>Q4</v>
      </c>
    </row>
    <row r="9" spans="1:13" hidden="1" x14ac:dyDescent="0.3">
      <c r="A9" s="3">
        <v>229</v>
      </c>
      <c r="B9" s="4" t="s">
        <v>8</v>
      </c>
      <c r="C9" s="4" t="s">
        <v>7</v>
      </c>
      <c r="D9" s="5">
        <v>44531</v>
      </c>
      <c r="E9" s="3">
        <v>12709</v>
      </c>
      <c r="F9" t="str">
        <f t="shared" si="0"/>
        <v>Q4</v>
      </c>
    </row>
    <row r="10" spans="1:13" hidden="1" x14ac:dyDescent="0.3">
      <c r="A10" s="3">
        <v>236</v>
      </c>
      <c r="B10" s="4" t="s">
        <v>8</v>
      </c>
      <c r="C10" s="4" t="s">
        <v>7</v>
      </c>
      <c r="D10" s="5">
        <v>44531</v>
      </c>
      <c r="E10" s="3">
        <v>210352</v>
      </c>
      <c r="F10" t="str">
        <f t="shared" si="0"/>
        <v>Q4</v>
      </c>
    </row>
    <row r="11" spans="1:13" hidden="1" x14ac:dyDescent="0.3">
      <c r="A11" s="3">
        <v>274</v>
      </c>
      <c r="B11" s="4" t="s">
        <v>10</v>
      </c>
      <c r="C11" s="4" t="s">
        <v>7</v>
      </c>
      <c r="D11" s="5">
        <v>44531</v>
      </c>
      <c r="E11" s="3">
        <v>100956</v>
      </c>
      <c r="F11" t="str">
        <f t="shared" si="0"/>
        <v>Q4</v>
      </c>
    </row>
    <row r="12" spans="1:13" hidden="1" x14ac:dyDescent="0.3">
      <c r="A12" s="3">
        <v>49</v>
      </c>
      <c r="B12" s="4" t="s">
        <v>9</v>
      </c>
      <c r="C12" s="4" t="s">
        <v>7</v>
      </c>
      <c r="D12" s="5">
        <v>44501</v>
      </c>
      <c r="E12" s="3">
        <v>146394</v>
      </c>
      <c r="F12" t="str">
        <f t="shared" si="0"/>
        <v>Q4</v>
      </c>
    </row>
    <row r="13" spans="1:13" hidden="1" x14ac:dyDescent="0.3">
      <c r="A13" s="3">
        <v>83</v>
      </c>
      <c r="B13" s="4" t="s">
        <v>10</v>
      </c>
      <c r="C13" s="4" t="s">
        <v>7</v>
      </c>
      <c r="D13" s="5">
        <v>44501</v>
      </c>
      <c r="E13" s="3">
        <v>25301</v>
      </c>
      <c r="F13" t="str">
        <f t="shared" si="0"/>
        <v>Q4</v>
      </c>
    </row>
    <row r="14" spans="1:13" hidden="1" x14ac:dyDescent="0.3">
      <c r="A14" s="3">
        <v>89</v>
      </c>
      <c r="B14" s="4" t="s">
        <v>6</v>
      </c>
      <c r="C14" s="4" t="s">
        <v>7</v>
      </c>
      <c r="D14" s="5">
        <v>44501</v>
      </c>
      <c r="E14" s="3">
        <v>211082</v>
      </c>
      <c r="F14" t="str">
        <f t="shared" si="0"/>
        <v>Q4</v>
      </c>
    </row>
    <row r="15" spans="1:13" hidden="1" x14ac:dyDescent="0.3">
      <c r="A15" s="3">
        <v>231</v>
      </c>
      <c r="B15" s="4" t="s">
        <v>6</v>
      </c>
      <c r="C15" s="4" t="s">
        <v>7</v>
      </c>
      <c r="D15" s="5">
        <v>44501</v>
      </c>
      <c r="E15" s="3">
        <v>39271</v>
      </c>
      <c r="F15" t="str">
        <f t="shared" si="0"/>
        <v>Q4</v>
      </c>
    </row>
    <row r="16" spans="1:13" hidden="1" x14ac:dyDescent="0.3">
      <c r="A16" s="3">
        <v>284</v>
      </c>
      <c r="B16" s="4" t="s">
        <v>6</v>
      </c>
      <c r="C16" s="4" t="s">
        <v>7</v>
      </c>
      <c r="D16" s="5">
        <v>44501</v>
      </c>
      <c r="E16" s="3">
        <v>195638</v>
      </c>
      <c r="F16" t="str">
        <f t="shared" si="0"/>
        <v>Q4</v>
      </c>
    </row>
    <row r="17" spans="1:6" hidden="1" x14ac:dyDescent="0.3">
      <c r="A17" s="3">
        <v>2</v>
      </c>
      <c r="B17" s="4" t="s">
        <v>9</v>
      </c>
      <c r="C17" s="4" t="s">
        <v>7</v>
      </c>
      <c r="D17" s="5">
        <v>44470</v>
      </c>
      <c r="E17" s="4">
        <v>165656</v>
      </c>
      <c r="F17" t="str">
        <f t="shared" si="0"/>
        <v>Q4</v>
      </c>
    </row>
    <row r="18" spans="1:6" hidden="1" x14ac:dyDescent="0.3">
      <c r="A18" s="3">
        <v>95</v>
      </c>
      <c r="B18" s="4" t="s">
        <v>11</v>
      </c>
      <c r="C18" s="4" t="s">
        <v>7</v>
      </c>
      <c r="D18" s="5">
        <v>44470</v>
      </c>
      <c r="E18" s="3">
        <v>13328</v>
      </c>
      <c r="F18" t="str">
        <f t="shared" si="0"/>
        <v>Q4</v>
      </c>
    </row>
    <row r="19" spans="1:6" hidden="1" x14ac:dyDescent="0.3">
      <c r="A19" s="3">
        <v>101</v>
      </c>
      <c r="B19" s="4" t="s">
        <v>10</v>
      </c>
      <c r="C19" s="4" t="s">
        <v>7</v>
      </c>
      <c r="D19" s="5">
        <v>44470</v>
      </c>
      <c r="E19" s="3">
        <v>231047</v>
      </c>
      <c r="F19" t="str">
        <f t="shared" si="0"/>
        <v>Q4</v>
      </c>
    </row>
    <row r="20" spans="1:6" hidden="1" x14ac:dyDescent="0.3">
      <c r="A20" s="3">
        <v>234</v>
      </c>
      <c r="B20" s="4" t="s">
        <v>8</v>
      </c>
      <c r="C20" s="4" t="s">
        <v>7</v>
      </c>
      <c r="D20" s="5">
        <v>44470</v>
      </c>
      <c r="E20" s="3">
        <v>236531</v>
      </c>
      <c r="F20" t="str">
        <f t="shared" si="0"/>
        <v>Q4</v>
      </c>
    </row>
    <row r="21" spans="1:6" hidden="1" x14ac:dyDescent="0.3">
      <c r="A21" s="3">
        <v>235</v>
      </c>
      <c r="B21" s="4" t="s">
        <v>10</v>
      </c>
      <c r="C21" s="4" t="s">
        <v>7</v>
      </c>
      <c r="D21" s="5">
        <v>44470</v>
      </c>
      <c r="E21" s="3">
        <v>128249</v>
      </c>
      <c r="F21" t="str">
        <f t="shared" si="0"/>
        <v>Q4</v>
      </c>
    </row>
    <row r="22" spans="1:6" hidden="1" x14ac:dyDescent="0.3">
      <c r="A22" s="3">
        <v>306</v>
      </c>
      <c r="B22" s="4" t="s">
        <v>10</v>
      </c>
      <c r="C22" s="4" t="s">
        <v>7</v>
      </c>
      <c r="D22" s="5">
        <v>44470</v>
      </c>
      <c r="E22" s="3">
        <v>86076</v>
      </c>
      <c r="F22" t="str">
        <f t="shared" si="0"/>
        <v>Q4</v>
      </c>
    </row>
    <row r="23" spans="1:6" x14ac:dyDescent="0.3">
      <c r="A23" s="3">
        <v>5</v>
      </c>
      <c r="B23" s="4" t="s">
        <v>9</v>
      </c>
      <c r="C23" s="4" t="s">
        <v>7</v>
      </c>
      <c r="D23" s="5">
        <v>44440</v>
      </c>
      <c r="E23" s="4">
        <v>135801</v>
      </c>
      <c r="F23" t="str">
        <f t="shared" si="0"/>
        <v>Q3</v>
      </c>
    </row>
    <row r="24" spans="1:6" x14ac:dyDescent="0.3">
      <c r="A24" s="3">
        <v>25</v>
      </c>
      <c r="B24" s="4" t="s">
        <v>6</v>
      </c>
      <c r="C24" s="4" t="s">
        <v>7</v>
      </c>
      <c r="D24" s="5">
        <v>44440</v>
      </c>
      <c r="E24" s="4">
        <v>60921</v>
      </c>
      <c r="F24" t="str">
        <f t="shared" si="0"/>
        <v>Q3</v>
      </c>
    </row>
    <row r="25" spans="1:6" x14ac:dyDescent="0.3">
      <c r="A25" s="3">
        <v>99</v>
      </c>
      <c r="B25" s="4" t="s">
        <v>10</v>
      </c>
      <c r="C25" s="4" t="s">
        <v>7</v>
      </c>
      <c r="D25" s="5">
        <v>44440</v>
      </c>
      <c r="E25" s="3">
        <v>147727</v>
      </c>
      <c r="F25" t="str">
        <f t="shared" si="0"/>
        <v>Q3</v>
      </c>
    </row>
    <row r="26" spans="1:6" x14ac:dyDescent="0.3">
      <c r="A26" s="3">
        <v>207</v>
      </c>
      <c r="B26" s="4" t="s">
        <v>6</v>
      </c>
      <c r="C26" s="4" t="s">
        <v>7</v>
      </c>
      <c r="D26" s="5">
        <v>44440</v>
      </c>
      <c r="E26" s="3">
        <v>258051</v>
      </c>
      <c r="F26" t="str">
        <f t="shared" si="0"/>
        <v>Q3</v>
      </c>
    </row>
    <row r="27" spans="1:6" x14ac:dyDescent="0.3">
      <c r="A27" s="3">
        <v>31</v>
      </c>
      <c r="B27" s="4" t="s">
        <v>6</v>
      </c>
      <c r="C27" s="4" t="s">
        <v>7</v>
      </c>
      <c r="D27" s="5">
        <v>44409</v>
      </c>
      <c r="E27" s="4">
        <v>87532</v>
      </c>
      <c r="F27" t="str">
        <f t="shared" si="0"/>
        <v>Q3</v>
      </c>
    </row>
    <row r="28" spans="1:6" x14ac:dyDescent="0.3">
      <c r="A28" s="3">
        <v>100</v>
      </c>
      <c r="B28" s="4" t="s">
        <v>8</v>
      </c>
      <c r="C28" s="4" t="s">
        <v>7</v>
      </c>
      <c r="D28" s="5">
        <v>44409</v>
      </c>
      <c r="E28" s="3">
        <v>109849</v>
      </c>
      <c r="F28" t="str">
        <f t="shared" si="0"/>
        <v>Q3</v>
      </c>
    </row>
    <row r="29" spans="1:6" x14ac:dyDescent="0.3">
      <c r="A29" s="3">
        <v>249</v>
      </c>
      <c r="B29" s="4" t="s">
        <v>9</v>
      </c>
      <c r="C29" s="4" t="s">
        <v>7</v>
      </c>
      <c r="D29" s="5">
        <v>44409</v>
      </c>
      <c r="E29" s="3">
        <v>23250</v>
      </c>
      <c r="F29" t="str">
        <f t="shared" si="0"/>
        <v>Q3</v>
      </c>
    </row>
    <row r="30" spans="1:6" x14ac:dyDescent="0.3">
      <c r="A30" s="3">
        <v>257</v>
      </c>
      <c r="B30" s="4" t="s">
        <v>9</v>
      </c>
      <c r="C30" s="4" t="s">
        <v>7</v>
      </c>
      <c r="D30" s="5">
        <v>44409</v>
      </c>
      <c r="E30" s="3">
        <v>7382</v>
      </c>
      <c r="F30" t="str">
        <f t="shared" si="0"/>
        <v>Q3</v>
      </c>
    </row>
    <row r="31" spans="1:6" x14ac:dyDescent="0.3">
      <c r="A31" s="3">
        <v>34</v>
      </c>
      <c r="B31" s="4" t="s">
        <v>10</v>
      </c>
      <c r="C31" s="4" t="s">
        <v>7</v>
      </c>
      <c r="D31" s="5">
        <v>44378</v>
      </c>
      <c r="E31" s="4">
        <v>57399</v>
      </c>
      <c r="F31" t="str">
        <f t="shared" si="0"/>
        <v>Q3</v>
      </c>
    </row>
    <row r="32" spans="1:6" x14ac:dyDescent="0.3">
      <c r="A32" s="3">
        <v>57</v>
      </c>
      <c r="B32" s="4" t="s">
        <v>9</v>
      </c>
      <c r="C32" s="4" t="s">
        <v>7</v>
      </c>
      <c r="D32" s="5">
        <v>44378</v>
      </c>
      <c r="E32" s="3">
        <v>96209</v>
      </c>
      <c r="F32" t="str">
        <f t="shared" si="0"/>
        <v>Q3</v>
      </c>
    </row>
    <row r="33" spans="1:6" x14ac:dyDescent="0.3">
      <c r="A33" s="3">
        <v>113</v>
      </c>
      <c r="B33" s="4" t="s">
        <v>8</v>
      </c>
      <c r="C33" s="4" t="s">
        <v>7</v>
      </c>
      <c r="D33" s="5">
        <v>44378</v>
      </c>
      <c r="E33" s="3">
        <v>26819</v>
      </c>
      <c r="F33" t="str">
        <f t="shared" si="0"/>
        <v>Q3</v>
      </c>
    </row>
    <row r="34" spans="1:6" x14ac:dyDescent="0.3">
      <c r="A34" s="3">
        <v>138</v>
      </c>
      <c r="B34" s="4" t="s">
        <v>9</v>
      </c>
      <c r="C34" s="4" t="s">
        <v>7</v>
      </c>
      <c r="D34" s="5">
        <v>44378</v>
      </c>
      <c r="E34" s="3">
        <v>44394</v>
      </c>
      <c r="F34" t="str">
        <f t="shared" si="0"/>
        <v>Q3</v>
      </c>
    </row>
    <row r="35" spans="1:6" x14ac:dyDescent="0.3">
      <c r="A35" s="3">
        <v>151</v>
      </c>
      <c r="B35" s="4" t="s">
        <v>9</v>
      </c>
      <c r="C35" s="4" t="s">
        <v>7</v>
      </c>
      <c r="D35" s="5">
        <v>44378</v>
      </c>
      <c r="E35" s="3">
        <v>173616</v>
      </c>
      <c r="F35" t="str">
        <f t="shared" si="0"/>
        <v>Q3</v>
      </c>
    </row>
    <row r="36" spans="1:6" x14ac:dyDescent="0.3">
      <c r="A36" s="3">
        <v>168</v>
      </c>
      <c r="B36" s="4" t="s">
        <v>11</v>
      </c>
      <c r="C36" s="4" t="s">
        <v>7</v>
      </c>
      <c r="D36" s="5">
        <v>44378</v>
      </c>
      <c r="E36" s="3">
        <v>185869</v>
      </c>
      <c r="F36" t="str">
        <f t="shared" si="0"/>
        <v>Q3</v>
      </c>
    </row>
    <row r="37" spans="1:6" x14ac:dyDescent="0.3">
      <c r="A37" s="3">
        <v>248</v>
      </c>
      <c r="B37" s="4" t="s">
        <v>9</v>
      </c>
      <c r="C37" s="4" t="s">
        <v>7</v>
      </c>
      <c r="D37" s="5">
        <v>44378</v>
      </c>
      <c r="E37" s="3">
        <v>89802</v>
      </c>
      <c r="F37" t="str">
        <f t="shared" si="0"/>
        <v>Q3</v>
      </c>
    </row>
    <row r="38" spans="1:6" x14ac:dyDescent="0.3">
      <c r="A38" s="3">
        <v>311</v>
      </c>
      <c r="B38" s="4" t="s">
        <v>10</v>
      </c>
      <c r="C38" s="4" t="s">
        <v>7</v>
      </c>
      <c r="D38" s="5">
        <v>44378</v>
      </c>
      <c r="E38" s="3">
        <v>176652</v>
      </c>
      <c r="F38" t="str">
        <f t="shared" si="0"/>
        <v>Q3</v>
      </c>
    </row>
    <row r="39" spans="1:6" hidden="1" x14ac:dyDescent="0.3">
      <c r="A39" s="3">
        <v>56</v>
      </c>
      <c r="B39" s="4" t="s">
        <v>9</v>
      </c>
      <c r="C39" s="4" t="s">
        <v>7</v>
      </c>
      <c r="D39" s="5">
        <v>44348</v>
      </c>
      <c r="E39" s="3">
        <v>137843</v>
      </c>
      <c r="F39" t="str">
        <f t="shared" si="0"/>
        <v>Q2</v>
      </c>
    </row>
    <row r="40" spans="1:6" hidden="1" x14ac:dyDescent="0.3">
      <c r="A40" s="3">
        <v>63</v>
      </c>
      <c r="B40" s="4" t="s">
        <v>9</v>
      </c>
      <c r="C40" s="4" t="s">
        <v>7</v>
      </c>
      <c r="D40" s="5">
        <v>44348</v>
      </c>
      <c r="E40" s="3">
        <v>7110</v>
      </c>
      <c r="F40" t="str">
        <f t="shared" si="0"/>
        <v>Q2</v>
      </c>
    </row>
    <row r="41" spans="1:6" hidden="1" x14ac:dyDescent="0.3">
      <c r="A41" s="3">
        <v>79</v>
      </c>
      <c r="B41" s="4" t="s">
        <v>9</v>
      </c>
      <c r="C41" s="4" t="s">
        <v>7</v>
      </c>
      <c r="D41" s="5">
        <v>44348</v>
      </c>
      <c r="E41" s="3">
        <v>234786</v>
      </c>
      <c r="F41" t="str">
        <f t="shared" si="0"/>
        <v>Q2</v>
      </c>
    </row>
    <row r="42" spans="1:6" hidden="1" x14ac:dyDescent="0.3">
      <c r="A42" s="3">
        <v>114</v>
      </c>
      <c r="B42" s="4" t="s">
        <v>10</v>
      </c>
      <c r="C42" s="4" t="s">
        <v>7</v>
      </c>
      <c r="D42" s="5">
        <v>44348</v>
      </c>
      <c r="E42" s="3">
        <v>139728</v>
      </c>
      <c r="F42" t="str">
        <f t="shared" si="0"/>
        <v>Q2</v>
      </c>
    </row>
    <row r="43" spans="1:6" hidden="1" x14ac:dyDescent="0.3">
      <c r="A43" s="3">
        <v>123</v>
      </c>
      <c r="B43" s="4" t="s">
        <v>9</v>
      </c>
      <c r="C43" s="4" t="s">
        <v>7</v>
      </c>
      <c r="D43" s="5">
        <v>44348</v>
      </c>
      <c r="E43" s="3">
        <v>115261</v>
      </c>
      <c r="F43" t="str">
        <f t="shared" si="0"/>
        <v>Q2</v>
      </c>
    </row>
    <row r="44" spans="1:6" hidden="1" x14ac:dyDescent="0.3">
      <c r="A44" s="3">
        <v>134</v>
      </c>
      <c r="B44" s="4" t="s">
        <v>9</v>
      </c>
      <c r="C44" s="4" t="s">
        <v>7</v>
      </c>
      <c r="D44" s="5">
        <v>44348</v>
      </c>
      <c r="E44" s="3">
        <v>165992</v>
      </c>
      <c r="F44" t="str">
        <f t="shared" si="0"/>
        <v>Q2</v>
      </c>
    </row>
    <row r="45" spans="1:6" hidden="1" x14ac:dyDescent="0.3">
      <c r="A45" s="3">
        <v>156</v>
      </c>
      <c r="B45" s="4" t="s">
        <v>10</v>
      </c>
      <c r="C45" s="4" t="s">
        <v>7</v>
      </c>
      <c r="D45" s="5">
        <v>44348</v>
      </c>
      <c r="E45" s="3">
        <v>95791</v>
      </c>
      <c r="F45" t="str">
        <f t="shared" si="0"/>
        <v>Q2</v>
      </c>
    </row>
    <row r="46" spans="1:6" hidden="1" x14ac:dyDescent="0.3">
      <c r="A46" s="3">
        <v>170</v>
      </c>
      <c r="B46" s="4" t="s">
        <v>10</v>
      </c>
      <c r="C46" s="4" t="s">
        <v>7</v>
      </c>
      <c r="D46" s="5">
        <v>44348</v>
      </c>
      <c r="E46" s="3">
        <v>254580</v>
      </c>
      <c r="F46" t="str">
        <f t="shared" si="0"/>
        <v>Q2</v>
      </c>
    </row>
    <row r="47" spans="1:6" hidden="1" x14ac:dyDescent="0.3">
      <c r="A47" s="3">
        <v>217</v>
      </c>
      <c r="B47" s="4" t="s">
        <v>10</v>
      </c>
      <c r="C47" s="4" t="s">
        <v>7</v>
      </c>
      <c r="D47" s="5">
        <v>44348</v>
      </c>
      <c r="E47" s="3">
        <v>159478</v>
      </c>
      <c r="F47" t="str">
        <f t="shared" si="0"/>
        <v>Q2</v>
      </c>
    </row>
    <row r="48" spans="1:6" hidden="1" x14ac:dyDescent="0.3">
      <c r="A48" s="3">
        <v>261</v>
      </c>
      <c r="B48" s="4" t="s">
        <v>9</v>
      </c>
      <c r="C48" s="4" t="s">
        <v>7</v>
      </c>
      <c r="D48" s="5">
        <v>44348</v>
      </c>
      <c r="E48" s="3">
        <v>7190</v>
      </c>
      <c r="F48" t="str">
        <f t="shared" si="0"/>
        <v>Q2</v>
      </c>
    </row>
    <row r="49" spans="1:6" hidden="1" x14ac:dyDescent="0.3">
      <c r="A49" s="3">
        <v>97</v>
      </c>
      <c r="B49" s="4" t="s">
        <v>6</v>
      </c>
      <c r="C49" s="4" t="s">
        <v>7</v>
      </c>
      <c r="D49" s="5">
        <v>44317</v>
      </c>
      <c r="E49" s="3">
        <v>258583</v>
      </c>
      <c r="F49" t="str">
        <f t="shared" si="0"/>
        <v>Q2</v>
      </c>
    </row>
    <row r="50" spans="1:6" hidden="1" x14ac:dyDescent="0.3">
      <c r="A50" s="3">
        <v>117</v>
      </c>
      <c r="B50" s="4" t="s">
        <v>8</v>
      </c>
      <c r="C50" s="4" t="s">
        <v>7</v>
      </c>
      <c r="D50" s="5">
        <v>44317</v>
      </c>
      <c r="E50" s="3">
        <v>57755</v>
      </c>
      <c r="F50" t="str">
        <f t="shared" si="0"/>
        <v>Q2</v>
      </c>
    </row>
    <row r="51" spans="1:6" hidden="1" x14ac:dyDescent="0.3">
      <c r="A51" s="3">
        <v>167</v>
      </c>
      <c r="B51" s="4" t="s">
        <v>6</v>
      </c>
      <c r="C51" s="4" t="s">
        <v>7</v>
      </c>
      <c r="D51" s="5">
        <v>44317</v>
      </c>
      <c r="E51" s="3">
        <v>223042</v>
      </c>
      <c r="F51" t="str">
        <f t="shared" si="0"/>
        <v>Q2</v>
      </c>
    </row>
    <row r="52" spans="1:6" hidden="1" x14ac:dyDescent="0.3">
      <c r="A52" s="3">
        <v>182</v>
      </c>
      <c r="B52" s="4" t="s">
        <v>8</v>
      </c>
      <c r="C52" s="4" t="s">
        <v>7</v>
      </c>
      <c r="D52" s="5">
        <v>44317</v>
      </c>
      <c r="E52" s="3">
        <v>164464</v>
      </c>
      <c r="F52" t="str">
        <f t="shared" si="0"/>
        <v>Q2</v>
      </c>
    </row>
    <row r="53" spans="1:6" hidden="1" x14ac:dyDescent="0.3">
      <c r="A53" s="3">
        <v>222</v>
      </c>
      <c r="B53" s="4" t="s">
        <v>11</v>
      </c>
      <c r="C53" s="4" t="s">
        <v>7</v>
      </c>
      <c r="D53" s="5">
        <v>44317</v>
      </c>
      <c r="E53" s="3">
        <v>1519</v>
      </c>
      <c r="F53" t="str">
        <f t="shared" si="0"/>
        <v>Q2</v>
      </c>
    </row>
    <row r="54" spans="1:6" hidden="1" x14ac:dyDescent="0.3">
      <c r="A54" s="3">
        <v>144</v>
      </c>
      <c r="B54" s="4" t="s">
        <v>9</v>
      </c>
      <c r="C54" s="4" t="s">
        <v>7</v>
      </c>
      <c r="D54" s="5">
        <v>44287</v>
      </c>
      <c r="E54" s="3">
        <v>35096</v>
      </c>
      <c r="F54" t="str">
        <f t="shared" si="0"/>
        <v>Q2</v>
      </c>
    </row>
    <row r="55" spans="1:6" hidden="1" x14ac:dyDescent="0.3">
      <c r="A55" s="3">
        <v>169</v>
      </c>
      <c r="B55" s="4" t="s">
        <v>11</v>
      </c>
      <c r="C55" s="4" t="s">
        <v>7</v>
      </c>
      <c r="D55" s="5">
        <v>44287</v>
      </c>
      <c r="E55" s="3">
        <v>73394</v>
      </c>
      <c r="F55" t="str">
        <f t="shared" si="0"/>
        <v>Q2</v>
      </c>
    </row>
    <row r="56" spans="1:6" hidden="1" x14ac:dyDescent="0.3">
      <c r="A56" s="3">
        <v>176</v>
      </c>
      <c r="B56" s="4" t="s">
        <v>10</v>
      </c>
      <c r="C56" s="4" t="s">
        <v>7</v>
      </c>
      <c r="D56" s="5">
        <v>44287</v>
      </c>
      <c r="E56" s="3">
        <v>259</v>
      </c>
      <c r="F56" t="str">
        <f t="shared" si="0"/>
        <v>Q2</v>
      </c>
    </row>
    <row r="57" spans="1:6" hidden="1" x14ac:dyDescent="0.3">
      <c r="A57" s="3">
        <v>220</v>
      </c>
      <c r="B57" s="4" t="s">
        <v>6</v>
      </c>
      <c r="C57" s="4" t="s">
        <v>7</v>
      </c>
      <c r="D57" s="5">
        <v>44287</v>
      </c>
      <c r="E57" s="3">
        <v>89649</v>
      </c>
      <c r="F57" t="str">
        <f t="shared" si="0"/>
        <v>Q2</v>
      </c>
    </row>
    <row r="58" spans="1:6" hidden="1" x14ac:dyDescent="0.3">
      <c r="A58" s="3">
        <v>221</v>
      </c>
      <c r="B58" s="4" t="s">
        <v>8</v>
      </c>
      <c r="C58" s="4" t="s">
        <v>7</v>
      </c>
      <c r="D58" s="5">
        <v>44287</v>
      </c>
      <c r="E58" s="3">
        <v>42319</v>
      </c>
      <c r="F58" t="str">
        <f t="shared" si="0"/>
        <v>Q2</v>
      </c>
    </row>
    <row r="59" spans="1:6" hidden="1" x14ac:dyDescent="0.3">
      <c r="A59" s="3">
        <v>309</v>
      </c>
      <c r="B59" s="4" t="s">
        <v>10</v>
      </c>
      <c r="C59" s="4" t="s">
        <v>7</v>
      </c>
      <c r="D59" s="5">
        <v>44287</v>
      </c>
      <c r="E59" s="3">
        <v>51383</v>
      </c>
      <c r="F59" t="str">
        <f t="shared" si="0"/>
        <v>Q2</v>
      </c>
    </row>
    <row r="60" spans="1:6" hidden="1" x14ac:dyDescent="0.3">
      <c r="A60" s="3">
        <v>3</v>
      </c>
      <c r="B60" s="4" t="s">
        <v>9</v>
      </c>
      <c r="C60" s="4" t="s">
        <v>7</v>
      </c>
      <c r="D60" s="5">
        <v>44256</v>
      </c>
      <c r="E60" s="4">
        <v>25467</v>
      </c>
      <c r="F60" t="str">
        <f t="shared" si="0"/>
        <v>Q1</v>
      </c>
    </row>
    <row r="61" spans="1:6" hidden="1" x14ac:dyDescent="0.3">
      <c r="A61" s="3">
        <v>238</v>
      </c>
      <c r="B61" s="4" t="s">
        <v>10</v>
      </c>
      <c r="C61" s="4" t="s">
        <v>7</v>
      </c>
      <c r="D61" s="5">
        <v>44256</v>
      </c>
      <c r="E61" s="3">
        <v>117440</v>
      </c>
      <c r="F61" t="str">
        <f t="shared" si="0"/>
        <v>Q1</v>
      </c>
    </row>
    <row r="62" spans="1:6" hidden="1" x14ac:dyDescent="0.3">
      <c r="A62" s="3">
        <v>189</v>
      </c>
      <c r="B62" s="4" t="s">
        <v>9</v>
      </c>
      <c r="C62" s="4" t="s">
        <v>7</v>
      </c>
      <c r="D62" s="5">
        <v>44228</v>
      </c>
      <c r="E62" s="3">
        <v>210276</v>
      </c>
      <c r="F62" t="str">
        <f t="shared" si="0"/>
        <v>Q1</v>
      </c>
    </row>
    <row r="63" spans="1:6" hidden="1" x14ac:dyDescent="0.3">
      <c r="A63" s="3">
        <v>190</v>
      </c>
      <c r="B63" s="4" t="s">
        <v>9</v>
      </c>
      <c r="C63" s="4" t="s">
        <v>7</v>
      </c>
      <c r="D63" s="5">
        <v>44228</v>
      </c>
      <c r="E63" s="3">
        <v>86142</v>
      </c>
      <c r="F63" t="str">
        <f t="shared" si="0"/>
        <v>Q1</v>
      </c>
    </row>
    <row r="64" spans="1:6" hidden="1" x14ac:dyDescent="0.3">
      <c r="A64" s="3">
        <v>266</v>
      </c>
      <c r="B64" s="4" t="s">
        <v>9</v>
      </c>
      <c r="C64" s="4" t="s">
        <v>7</v>
      </c>
      <c r="D64" s="5">
        <v>44228</v>
      </c>
      <c r="E64" s="3">
        <v>134107</v>
      </c>
      <c r="F64" t="str">
        <f t="shared" si="0"/>
        <v>Q1</v>
      </c>
    </row>
    <row r="65" spans="1:6" hidden="1" x14ac:dyDescent="0.3">
      <c r="A65" s="3">
        <v>292</v>
      </c>
      <c r="B65" s="4" t="s">
        <v>10</v>
      </c>
      <c r="C65" s="4" t="s">
        <v>7</v>
      </c>
      <c r="D65" s="5">
        <v>44228</v>
      </c>
      <c r="E65" s="3">
        <v>11682</v>
      </c>
      <c r="F65" t="str">
        <f t="shared" si="0"/>
        <v>Q1</v>
      </c>
    </row>
    <row r="66" spans="1:6" hidden="1" x14ac:dyDescent="0.3">
      <c r="A66" s="3">
        <v>26</v>
      </c>
      <c r="B66" s="4" t="s">
        <v>8</v>
      </c>
      <c r="C66" s="4" t="s">
        <v>7</v>
      </c>
      <c r="D66" s="5">
        <v>44197</v>
      </c>
      <c r="E66" s="4">
        <v>180969</v>
      </c>
      <c r="F66" t="str">
        <f t="shared" si="0"/>
        <v>Q1</v>
      </c>
    </row>
    <row r="67" spans="1:6" hidden="1" x14ac:dyDescent="0.3">
      <c r="A67" s="3">
        <v>47</v>
      </c>
      <c r="B67" s="4" t="s">
        <v>9</v>
      </c>
      <c r="C67" s="4" t="s">
        <v>7</v>
      </c>
      <c r="D67" s="5">
        <v>44197</v>
      </c>
      <c r="E67" s="3">
        <v>48442</v>
      </c>
      <c r="F67" t="str">
        <f t="shared" si="0"/>
        <v>Q1</v>
      </c>
    </row>
    <row r="68" spans="1:6" hidden="1" x14ac:dyDescent="0.3">
      <c r="A68" s="3">
        <v>133</v>
      </c>
      <c r="B68" s="4" t="s">
        <v>9</v>
      </c>
      <c r="C68" s="4" t="s">
        <v>7</v>
      </c>
      <c r="D68" s="5">
        <v>44197</v>
      </c>
      <c r="E68" s="3">
        <v>142596</v>
      </c>
      <c r="F68" t="str">
        <f t="shared" si="0"/>
        <v>Q1</v>
      </c>
    </row>
    <row r="69" spans="1:6" hidden="1" x14ac:dyDescent="0.3">
      <c r="A69" s="3">
        <v>240</v>
      </c>
      <c r="B69" s="4" t="s">
        <v>9</v>
      </c>
      <c r="C69" s="4" t="s">
        <v>7</v>
      </c>
      <c r="D69" s="5">
        <v>44197</v>
      </c>
      <c r="E69" s="3">
        <v>151301</v>
      </c>
      <c r="F69" t="str">
        <f t="shared" ref="F69:F70" si="1">"Q" &amp; INT((MONTH(D69) + 2) / 3)</f>
        <v>Q1</v>
      </c>
    </row>
    <row r="70" spans="1:6" hidden="1" x14ac:dyDescent="0.3">
      <c r="A70" s="3">
        <v>269</v>
      </c>
      <c r="B70" s="4" t="s">
        <v>9</v>
      </c>
      <c r="C70" s="4" t="s">
        <v>7</v>
      </c>
      <c r="D70" s="5">
        <v>44197</v>
      </c>
      <c r="E70" s="3">
        <v>28289</v>
      </c>
      <c r="F70" t="str">
        <f t="shared" si="1"/>
        <v>Q1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3F08A-4D0F-4332-8699-86137F977C10}">
  <sheetPr codeName="Sheet12"/>
  <dimension ref="C1:D1000"/>
  <sheetViews>
    <sheetView workbookViewId="0">
      <selection activeCell="K5" sqref="K5"/>
    </sheetView>
  </sheetViews>
  <sheetFormatPr defaultColWidth="14.44140625" defaultRowHeight="15" customHeight="1" x14ac:dyDescent="0.3"/>
  <cols>
    <col min="1" max="3" width="8.6640625" customWidth="1"/>
    <col min="4" max="4" width="11.6640625" customWidth="1"/>
    <col min="5" max="26" width="8.6640625" customWidth="1"/>
  </cols>
  <sheetData>
    <row r="1" spans="3:4" ht="14.25" customHeight="1" x14ac:dyDescent="0.3"/>
    <row r="2" spans="3:4" ht="14.25" customHeight="1" x14ac:dyDescent="0.3">
      <c r="C2" s="2" t="s">
        <v>12</v>
      </c>
    </row>
    <row r="3" spans="3:4" ht="14.25" customHeight="1" x14ac:dyDescent="0.3">
      <c r="C3" s="2" t="s">
        <v>13</v>
      </c>
    </row>
    <row r="4" spans="3:4" ht="14.25" customHeight="1" x14ac:dyDescent="0.3"/>
    <row r="5" spans="3:4" ht="14.25" customHeight="1" x14ac:dyDescent="0.3">
      <c r="C5" s="6" t="s">
        <v>4</v>
      </c>
      <c r="D5" s="6" t="s">
        <v>14</v>
      </c>
    </row>
    <row r="6" spans="3:4" ht="14.25" customHeight="1" x14ac:dyDescent="0.3">
      <c r="C6" s="7">
        <v>1990</v>
      </c>
      <c r="D6" s="8">
        <v>2156</v>
      </c>
    </row>
    <row r="7" spans="3:4" ht="14.25" customHeight="1" x14ac:dyDescent="0.3">
      <c r="C7" s="7">
        <v>1991</v>
      </c>
      <c r="D7" s="8">
        <v>3562</v>
      </c>
    </row>
    <row r="8" spans="3:4" ht="14.25" customHeight="1" x14ac:dyDescent="0.3">
      <c r="C8" s="7">
        <v>1992</v>
      </c>
      <c r="D8" s="8">
        <v>7506</v>
      </c>
    </row>
    <row r="9" spans="3:4" ht="14.25" customHeight="1" x14ac:dyDescent="0.3">
      <c r="C9" s="7">
        <v>1993</v>
      </c>
      <c r="D9" s="8">
        <v>6258</v>
      </c>
    </row>
    <row r="10" spans="3:4" ht="14.25" customHeight="1" x14ac:dyDescent="0.3">
      <c r="C10" s="7">
        <v>1994</v>
      </c>
      <c r="D10" s="8">
        <v>6279</v>
      </c>
    </row>
    <row r="11" spans="3:4" ht="14.25" customHeight="1" x14ac:dyDescent="0.3">
      <c r="C11" s="7">
        <v>1995</v>
      </c>
      <c r="D11" s="8">
        <v>1963</v>
      </c>
    </row>
    <row r="12" spans="3:4" ht="14.25" customHeight="1" x14ac:dyDescent="0.3">
      <c r="C12" s="7">
        <v>1996</v>
      </c>
      <c r="D12" s="8">
        <v>6736</v>
      </c>
    </row>
    <row r="13" spans="3:4" ht="14.25" customHeight="1" x14ac:dyDescent="0.3">
      <c r="C13" s="7">
        <v>1997</v>
      </c>
      <c r="D13" s="8">
        <v>3280</v>
      </c>
    </row>
    <row r="14" spans="3:4" ht="14.25" customHeight="1" x14ac:dyDescent="0.3">
      <c r="C14" s="7">
        <v>1998</v>
      </c>
      <c r="D14" s="8">
        <v>8398</v>
      </c>
    </row>
    <row r="15" spans="3:4" ht="14.25" customHeight="1" x14ac:dyDescent="0.3">
      <c r="C15" s="7">
        <v>1999</v>
      </c>
      <c r="D15" s="8">
        <v>2882</v>
      </c>
    </row>
    <row r="16" spans="3:4" ht="14.25" customHeight="1" x14ac:dyDescent="0.3">
      <c r="C16" s="7">
        <v>2000</v>
      </c>
      <c r="D16" s="8">
        <v>4686</v>
      </c>
    </row>
    <row r="17" spans="3:4" ht="14.25" customHeight="1" x14ac:dyDescent="0.3">
      <c r="C17" s="7">
        <v>2001</v>
      </c>
      <c r="D17" s="8">
        <v>6976</v>
      </c>
    </row>
    <row r="18" spans="3:4" ht="14.25" customHeight="1" x14ac:dyDescent="0.3">
      <c r="C18" s="7">
        <v>2002</v>
      </c>
      <c r="D18" s="8">
        <v>2173</v>
      </c>
    </row>
    <row r="19" spans="3:4" ht="14.25" customHeight="1" x14ac:dyDescent="0.3">
      <c r="C19" s="7">
        <v>2003</v>
      </c>
      <c r="D19" s="8">
        <v>2166</v>
      </c>
    </row>
    <row r="20" spans="3:4" ht="14.25" customHeight="1" x14ac:dyDescent="0.3">
      <c r="C20" s="9">
        <v>2004</v>
      </c>
      <c r="D20" s="10">
        <v>8418</v>
      </c>
    </row>
    <row r="21" spans="3:4" ht="14.25" customHeight="1" x14ac:dyDescent="0.3"/>
    <row r="22" spans="3:4" ht="14.25" customHeight="1" x14ac:dyDescent="0.3"/>
    <row r="23" spans="3:4" ht="14.25" customHeight="1" x14ac:dyDescent="0.3"/>
    <row r="24" spans="3:4" ht="14.25" customHeight="1" x14ac:dyDescent="0.3"/>
    <row r="25" spans="3:4" ht="14.25" customHeight="1" x14ac:dyDescent="0.3"/>
    <row r="26" spans="3:4" ht="14.25" customHeight="1" x14ac:dyDescent="0.3"/>
    <row r="27" spans="3:4" ht="14.25" customHeight="1" x14ac:dyDescent="0.3"/>
    <row r="28" spans="3:4" ht="14.25" customHeight="1" x14ac:dyDescent="0.3"/>
    <row r="29" spans="3:4" ht="14.25" customHeight="1" x14ac:dyDescent="0.3"/>
    <row r="30" spans="3:4" ht="14.25" customHeight="1" x14ac:dyDescent="0.3"/>
    <row r="31" spans="3:4" ht="14.25" customHeight="1" x14ac:dyDescent="0.3"/>
    <row r="32" spans="3:4" ht="14.25" customHeight="1" x14ac:dyDescent="0.3"/>
    <row r="33" customFormat="1" ht="14.25" customHeight="1" x14ac:dyDescent="0.3"/>
    <row r="34" customFormat="1" ht="14.25" customHeight="1" x14ac:dyDescent="0.3"/>
    <row r="35" customFormat="1" ht="14.25" customHeight="1" x14ac:dyDescent="0.3"/>
    <row r="36" customFormat="1" ht="14.25" customHeight="1" x14ac:dyDescent="0.3"/>
    <row r="37" customFormat="1" ht="14.25" customHeight="1" x14ac:dyDescent="0.3"/>
    <row r="38" customFormat="1" ht="14.25" customHeight="1" x14ac:dyDescent="0.3"/>
    <row r="39" customFormat="1" ht="14.25" customHeight="1" x14ac:dyDescent="0.3"/>
    <row r="40" customFormat="1" ht="14.25" customHeight="1" x14ac:dyDescent="0.3"/>
    <row r="41" customFormat="1" ht="14.25" customHeight="1" x14ac:dyDescent="0.3"/>
    <row r="42" customFormat="1" ht="14.25" customHeight="1" x14ac:dyDescent="0.3"/>
    <row r="43" customFormat="1" ht="14.25" customHeight="1" x14ac:dyDescent="0.3"/>
    <row r="44" customFormat="1" ht="14.25" customHeight="1" x14ac:dyDescent="0.3"/>
    <row r="45" customFormat="1" ht="14.25" customHeight="1" x14ac:dyDescent="0.3"/>
    <row r="46" customFormat="1" ht="14.25" customHeight="1" x14ac:dyDescent="0.3"/>
    <row r="47" customFormat="1" ht="14.25" customHeight="1" x14ac:dyDescent="0.3"/>
    <row r="48" customFormat="1" ht="14.25" customHeight="1" x14ac:dyDescent="0.3"/>
    <row r="49" customFormat="1" ht="14.25" customHeight="1" x14ac:dyDescent="0.3"/>
    <row r="50" customFormat="1" ht="14.25" customHeight="1" x14ac:dyDescent="0.3"/>
    <row r="51" customFormat="1" ht="14.25" customHeight="1" x14ac:dyDescent="0.3"/>
    <row r="52" customFormat="1" ht="14.25" customHeight="1" x14ac:dyDescent="0.3"/>
    <row r="53" customFormat="1" ht="14.25" customHeight="1" x14ac:dyDescent="0.3"/>
    <row r="54" customFormat="1" ht="14.25" customHeight="1" x14ac:dyDescent="0.3"/>
    <row r="55" customFormat="1" ht="14.25" customHeight="1" x14ac:dyDescent="0.3"/>
    <row r="56" customFormat="1" ht="14.25" customHeight="1" x14ac:dyDescent="0.3"/>
    <row r="57" customFormat="1" ht="14.25" customHeight="1" x14ac:dyDescent="0.3"/>
    <row r="58" customFormat="1" ht="14.25" customHeight="1" x14ac:dyDescent="0.3"/>
    <row r="59" customFormat="1" ht="14.25" customHeight="1" x14ac:dyDescent="0.3"/>
    <row r="60" customFormat="1" ht="14.25" customHeight="1" x14ac:dyDescent="0.3"/>
    <row r="61" customFormat="1" ht="14.25" customHeight="1" x14ac:dyDescent="0.3"/>
    <row r="62" customFormat="1" ht="14.25" customHeight="1" x14ac:dyDescent="0.3"/>
    <row r="63" customFormat="1" ht="14.25" customHeight="1" x14ac:dyDescent="0.3"/>
    <row r="64" customFormat="1" ht="14.25" customHeight="1" x14ac:dyDescent="0.3"/>
    <row r="65" customFormat="1" ht="14.25" customHeight="1" x14ac:dyDescent="0.3"/>
    <row r="66" customFormat="1" ht="14.25" customHeight="1" x14ac:dyDescent="0.3"/>
    <row r="67" customFormat="1" ht="14.25" customHeight="1" x14ac:dyDescent="0.3"/>
    <row r="68" customFormat="1" ht="14.25" customHeight="1" x14ac:dyDescent="0.3"/>
    <row r="69" customFormat="1" ht="14.25" customHeight="1" x14ac:dyDescent="0.3"/>
    <row r="70" customFormat="1" ht="14.25" customHeight="1" x14ac:dyDescent="0.3"/>
    <row r="71" customFormat="1" ht="14.25" customHeight="1" x14ac:dyDescent="0.3"/>
    <row r="72" customFormat="1" ht="14.25" customHeight="1" x14ac:dyDescent="0.3"/>
    <row r="73" customFormat="1" ht="14.25" customHeight="1" x14ac:dyDescent="0.3"/>
    <row r="74" customFormat="1" ht="14.25" customHeight="1" x14ac:dyDescent="0.3"/>
    <row r="75" customFormat="1" ht="14.25" customHeight="1" x14ac:dyDescent="0.3"/>
    <row r="76" customFormat="1" ht="14.25" customHeight="1" x14ac:dyDescent="0.3"/>
    <row r="77" customFormat="1" ht="14.25" customHeight="1" x14ac:dyDescent="0.3"/>
    <row r="78" customFormat="1" ht="14.25" customHeight="1" x14ac:dyDescent="0.3"/>
    <row r="79" customFormat="1" ht="14.25" customHeight="1" x14ac:dyDescent="0.3"/>
    <row r="80" customFormat="1" ht="14.25" customHeight="1" x14ac:dyDescent="0.3"/>
    <row r="81" customFormat="1" ht="14.25" customHeight="1" x14ac:dyDescent="0.3"/>
    <row r="82" customFormat="1" ht="14.25" customHeight="1" x14ac:dyDescent="0.3"/>
    <row r="83" customFormat="1" ht="14.25" customHeight="1" x14ac:dyDescent="0.3"/>
    <row r="84" customFormat="1" ht="14.25" customHeight="1" x14ac:dyDescent="0.3"/>
    <row r="85" customFormat="1" ht="14.25" customHeight="1" x14ac:dyDescent="0.3"/>
    <row r="86" customFormat="1" ht="14.25" customHeight="1" x14ac:dyDescent="0.3"/>
    <row r="87" customFormat="1" ht="14.25" customHeight="1" x14ac:dyDescent="0.3"/>
    <row r="88" customFormat="1" ht="14.25" customHeight="1" x14ac:dyDescent="0.3"/>
    <row r="89" customFormat="1" ht="14.25" customHeight="1" x14ac:dyDescent="0.3"/>
    <row r="90" customFormat="1" ht="14.25" customHeight="1" x14ac:dyDescent="0.3"/>
    <row r="91" customFormat="1" ht="14.25" customHeight="1" x14ac:dyDescent="0.3"/>
    <row r="92" customFormat="1" ht="14.25" customHeight="1" x14ac:dyDescent="0.3"/>
    <row r="93" customFormat="1" ht="14.25" customHeight="1" x14ac:dyDescent="0.3"/>
    <row r="94" customFormat="1" ht="14.25" customHeight="1" x14ac:dyDescent="0.3"/>
    <row r="95" customFormat="1" ht="14.25" customHeight="1" x14ac:dyDescent="0.3"/>
    <row r="96" customFormat="1" ht="14.25" customHeight="1" x14ac:dyDescent="0.3"/>
    <row r="97" customFormat="1" ht="14.25" customHeight="1" x14ac:dyDescent="0.3"/>
    <row r="98" customFormat="1" ht="14.25" customHeight="1" x14ac:dyDescent="0.3"/>
    <row r="99" customFormat="1" ht="14.25" customHeight="1" x14ac:dyDescent="0.3"/>
    <row r="100" customFormat="1" ht="14.25" customHeight="1" x14ac:dyDescent="0.3"/>
    <row r="101" customFormat="1" ht="14.25" customHeight="1" x14ac:dyDescent="0.3"/>
    <row r="102" customFormat="1" ht="14.25" customHeight="1" x14ac:dyDescent="0.3"/>
    <row r="103" customFormat="1" ht="14.25" customHeight="1" x14ac:dyDescent="0.3"/>
    <row r="104" customFormat="1" ht="14.25" customHeight="1" x14ac:dyDescent="0.3"/>
    <row r="105" customFormat="1" ht="14.25" customHeight="1" x14ac:dyDescent="0.3"/>
    <row r="106" customFormat="1" ht="14.25" customHeight="1" x14ac:dyDescent="0.3"/>
    <row r="107" customFormat="1" ht="14.25" customHeight="1" x14ac:dyDescent="0.3"/>
    <row r="108" customFormat="1" ht="14.25" customHeight="1" x14ac:dyDescent="0.3"/>
    <row r="109" customFormat="1" ht="14.25" customHeight="1" x14ac:dyDescent="0.3"/>
    <row r="110" customFormat="1" ht="14.25" customHeight="1" x14ac:dyDescent="0.3"/>
    <row r="111" customFormat="1" ht="14.25" customHeight="1" x14ac:dyDescent="0.3"/>
    <row r="112" customFormat="1" ht="14.25" customHeight="1" x14ac:dyDescent="0.3"/>
    <row r="113" customFormat="1" ht="14.25" customHeight="1" x14ac:dyDescent="0.3"/>
    <row r="114" customFormat="1" ht="14.25" customHeight="1" x14ac:dyDescent="0.3"/>
    <row r="115" customFormat="1" ht="14.25" customHeight="1" x14ac:dyDescent="0.3"/>
    <row r="116" customFormat="1" ht="14.25" customHeight="1" x14ac:dyDescent="0.3"/>
    <row r="117" customFormat="1" ht="14.25" customHeight="1" x14ac:dyDescent="0.3"/>
    <row r="118" customFormat="1" ht="14.25" customHeight="1" x14ac:dyDescent="0.3"/>
    <row r="119" customFormat="1" ht="14.25" customHeight="1" x14ac:dyDescent="0.3"/>
    <row r="120" customFormat="1" ht="14.25" customHeight="1" x14ac:dyDescent="0.3"/>
    <row r="121" customFormat="1" ht="14.25" customHeight="1" x14ac:dyDescent="0.3"/>
    <row r="122" customFormat="1" ht="14.25" customHeight="1" x14ac:dyDescent="0.3"/>
    <row r="123" customFormat="1" ht="14.25" customHeight="1" x14ac:dyDescent="0.3"/>
    <row r="124" customFormat="1" ht="14.25" customHeight="1" x14ac:dyDescent="0.3"/>
    <row r="125" customFormat="1" ht="14.25" customHeight="1" x14ac:dyDescent="0.3"/>
    <row r="126" customFormat="1" ht="14.25" customHeight="1" x14ac:dyDescent="0.3"/>
    <row r="127" customFormat="1" ht="14.25" customHeight="1" x14ac:dyDescent="0.3"/>
    <row r="128" customFormat="1" ht="14.25" customHeight="1" x14ac:dyDescent="0.3"/>
    <row r="129" customFormat="1" ht="14.25" customHeight="1" x14ac:dyDescent="0.3"/>
    <row r="130" customFormat="1" ht="14.25" customHeight="1" x14ac:dyDescent="0.3"/>
    <row r="131" customFormat="1" ht="14.25" customHeight="1" x14ac:dyDescent="0.3"/>
    <row r="132" customFormat="1" ht="14.25" customHeight="1" x14ac:dyDescent="0.3"/>
    <row r="133" customFormat="1" ht="14.25" customHeight="1" x14ac:dyDescent="0.3"/>
    <row r="134" customFormat="1" ht="14.25" customHeight="1" x14ac:dyDescent="0.3"/>
    <row r="135" customFormat="1" ht="14.25" customHeight="1" x14ac:dyDescent="0.3"/>
    <row r="136" customFormat="1" ht="14.25" customHeight="1" x14ac:dyDescent="0.3"/>
    <row r="137" customFormat="1" ht="14.25" customHeight="1" x14ac:dyDescent="0.3"/>
    <row r="138" customFormat="1" ht="14.25" customHeight="1" x14ac:dyDescent="0.3"/>
    <row r="139" customFormat="1" ht="14.25" customHeight="1" x14ac:dyDescent="0.3"/>
    <row r="140" customFormat="1" ht="14.25" customHeight="1" x14ac:dyDescent="0.3"/>
    <row r="141" customFormat="1" ht="14.25" customHeight="1" x14ac:dyDescent="0.3"/>
    <row r="142" customFormat="1" ht="14.25" customHeight="1" x14ac:dyDescent="0.3"/>
    <row r="143" customFormat="1" ht="14.25" customHeight="1" x14ac:dyDescent="0.3"/>
    <row r="144" customFormat="1" ht="14.25" customHeight="1" x14ac:dyDescent="0.3"/>
    <row r="145" customFormat="1" ht="14.25" customHeight="1" x14ac:dyDescent="0.3"/>
    <row r="146" customFormat="1" ht="14.25" customHeight="1" x14ac:dyDescent="0.3"/>
    <row r="147" customFormat="1" ht="14.25" customHeight="1" x14ac:dyDescent="0.3"/>
    <row r="148" customFormat="1" ht="14.25" customHeight="1" x14ac:dyDescent="0.3"/>
    <row r="149" customFormat="1" ht="14.25" customHeight="1" x14ac:dyDescent="0.3"/>
    <row r="150" customFormat="1" ht="14.25" customHeight="1" x14ac:dyDescent="0.3"/>
    <row r="151" customFormat="1" ht="14.25" customHeight="1" x14ac:dyDescent="0.3"/>
    <row r="152" customFormat="1" ht="14.25" customHeight="1" x14ac:dyDescent="0.3"/>
    <row r="153" customFormat="1" ht="14.25" customHeight="1" x14ac:dyDescent="0.3"/>
    <row r="154" customFormat="1" ht="14.25" customHeight="1" x14ac:dyDescent="0.3"/>
    <row r="155" customFormat="1" ht="14.25" customHeight="1" x14ac:dyDescent="0.3"/>
    <row r="156" customFormat="1" ht="14.25" customHeight="1" x14ac:dyDescent="0.3"/>
    <row r="157" customFormat="1" ht="14.25" customHeight="1" x14ac:dyDescent="0.3"/>
    <row r="158" customFormat="1" ht="14.25" customHeight="1" x14ac:dyDescent="0.3"/>
    <row r="159" customFormat="1" ht="14.25" customHeight="1" x14ac:dyDescent="0.3"/>
    <row r="160" customFormat="1" ht="14.25" customHeight="1" x14ac:dyDescent="0.3"/>
    <row r="161" customFormat="1" ht="14.25" customHeight="1" x14ac:dyDescent="0.3"/>
    <row r="162" customFormat="1" ht="14.25" customHeight="1" x14ac:dyDescent="0.3"/>
    <row r="163" customFormat="1" ht="14.25" customHeight="1" x14ac:dyDescent="0.3"/>
    <row r="164" customFormat="1" ht="14.25" customHeight="1" x14ac:dyDescent="0.3"/>
    <row r="165" customFormat="1" ht="14.25" customHeight="1" x14ac:dyDescent="0.3"/>
    <row r="166" customFormat="1" ht="14.25" customHeight="1" x14ac:dyDescent="0.3"/>
    <row r="167" customFormat="1" ht="14.25" customHeight="1" x14ac:dyDescent="0.3"/>
    <row r="168" customFormat="1" ht="14.25" customHeight="1" x14ac:dyDescent="0.3"/>
    <row r="169" customFormat="1" ht="14.25" customHeight="1" x14ac:dyDescent="0.3"/>
    <row r="170" customFormat="1" ht="14.25" customHeight="1" x14ac:dyDescent="0.3"/>
    <row r="171" customFormat="1" ht="14.25" customHeight="1" x14ac:dyDescent="0.3"/>
    <row r="172" customFormat="1" ht="14.25" customHeight="1" x14ac:dyDescent="0.3"/>
    <row r="173" customFormat="1" ht="14.25" customHeight="1" x14ac:dyDescent="0.3"/>
    <row r="174" customFormat="1" ht="14.25" customHeight="1" x14ac:dyDescent="0.3"/>
    <row r="175" customFormat="1" ht="14.25" customHeight="1" x14ac:dyDescent="0.3"/>
    <row r="176" customFormat="1" ht="14.25" customHeight="1" x14ac:dyDescent="0.3"/>
    <row r="177" customFormat="1" ht="14.25" customHeight="1" x14ac:dyDescent="0.3"/>
    <row r="178" customFormat="1" ht="14.25" customHeight="1" x14ac:dyDescent="0.3"/>
    <row r="179" customFormat="1" ht="14.25" customHeight="1" x14ac:dyDescent="0.3"/>
    <row r="180" customFormat="1" ht="14.25" customHeight="1" x14ac:dyDescent="0.3"/>
    <row r="181" customFormat="1" ht="14.25" customHeight="1" x14ac:dyDescent="0.3"/>
    <row r="182" customFormat="1" ht="14.25" customHeight="1" x14ac:dyDescent="0.3"/>
    <row r="183" customFormat="1" ht="14.25" customHeight="1" x14ac:dyDescent="0.3"/>
    <row r="184" customFormat="1" ht="14.25" customHeight="1" x14ac:dyDescent="0.3"/>
    <row r="185" customFormat="1" ht="14.25" customHeight="1" x14ac:dyDescent="0.3"/>
    <row r="186" customFormat="1" ht="14.25" customHeight="1" x14ac:dyDescent="0.3"/>
    <row r="187" customFormat="1" ht="14.25" customHeight="1" x14ac:dyDescent="0.3"/>
    <row r="188" customFormat="1" ht="14.25" customHeight="1" x14ac:dyDescent="0.3"/>
    <row r="189" customFormat="1" ht="14.25" customHeight="1" x14ac:dyDescent="0.3"/>
    <row r="190" customFormat="1" ht="14.25" customHeight="1" x14ac:dyDescent="0.3"/>
    <row r="191" customFormat="1" ht="14.25" customHeight="1" x14ac:dyDescent="0.3"/>
    <row r="192" customFormat="1" ht="14.25" customHeight="1" x14ac:dyDescent="0.3"/>
    <row r="193" customFormat="1" ht="14.25" customHeight="1" x14ac:dyDescent="0.3"/>
    <row r="194" customFormat="1" ht="14.25" customHeight="1" x14ac:dyDescent="0.3"/>
    <row r="195" customFormat="1" ht="14.25" customHeight="1" x14ac:dyDescent="0.3"/>
    <row r="196" customFormat="1" ht="14.25" customHeight="1" x14ac:dyDescent="0.3"/>
    <row r="197" customFormat="1" ht="14.25" customHeight="1" x14ac:dyDescent="0.3"/>
    <row r="198" customFormat="1" ht="14.25" customHeight="1" x14ac:dyDescent="0.3"/>
    <row r="199" customFormat="1" ht="14.25" customHeight="1" x14ac:dyDescent="0.3"/>
    <row r="200" customFormat="1" ht="14.25" customHeight="1" x14ac:dyDescent="0.3"/>
    <row r="201" customFormat="1" ht="14.25" customHeight="1" x14ac:dyDescent="0.3"/>
    <row r="202" customFormat="1" ht="14.25" customHeight="1" x14ac:dyDescent="0.3"/>
    <row r="203" customFormat="1" ht="14.25" customHeight="1" x14ac:dyDescent="0.3"/>
    <row r="204" customFormat="1" ht="14.25" customHeight="1" x14ac:dyDescent="0.3"/>
    <row r="205" customFormat="1" ht="14.25" customHeight="1" x14ac:dyDescent="0.3"/>
    <row r="206" customFormat="1" ht="14.25" customHeight="1" x14ac:dyDescent="0.3"/>
    <row r="207" customFormat="1" ht="14.25" customHeight="1" x14ac:dyDescent="0.3"/>
    <row r="208" customFormat="1" ht="14.25" customHeight="1" x14ac:dyDescent="0.3"/>
    <row r="209" customFormat="1" ht="14.25" customHeight="1" x14ac:dyDescent="0.3"/>
    <row r="210" customFormat="1" ht="14.25" customHeight="1" x14ac:dyDescent="0.3"/>
    <row r="211" customFormat="1" ht="14.25" customHeight="1" x14ac:dyDescent="0.3"/>
    <row r="212" customFormat="1" ht="14.25" customHeight="1" x14ac:dyDescent="0.3"/>
    <row r="213" customFormat="1" ht="14.25" customHeight="1" x14ac:dyDescent="0.3"/>
    <row r="214" customFormat="1" ht="14.25" customHeight="1" x14ac:dyDescent="0.3"/>
    <row r="215" customFormat="1" ht="14.25" customHeight="1" x14ac:dyDescent="0.3"/>
    <row r="216" customFormat="1" ht="14.25" customHeight="1" x14ac:dyDescent="0.3"/>
    <row r="217" customFormat="1" ht="14.25" customHeight="1" x14ac:dyDescent="0.3"/>
    <row r="218" customFormat="1" ht="14.25" customHeight="1" x14ac:dyDescent="0.3"/>
    <row r="219" customFormat="1" ht="14.25" customHeight="1" x14ac:dyDescent="0.3"/>
    <row r="220" customFormat="1" ht="14.25" customHeight="1" x14ac:dyDescent="0.3"/>
    <row r="221" customFormat="1" ht="14.25" customHeight="1" x14ac:dyDescent="0.3"/>
    <row r="222" customFormat="1" ht="14.25" customHeight="1" x14ac:dyDescent="0.3"/>
    <row r="223" customFormat="1" ht="14.25" customHeight="1" x14ac:dyDescent="0.3"/>
    <row r="224" customFormat="1" ht="14.25" customHeight="1" x14ac:dyDescent="0.3"/>
    <row r="225" customFormat="1" ht="14.25" customHeight="1" x14ac:dyDescent="0.3"/>
    <row r="226" customFormat="1" ht="14.25" customHeight="1" x14ac:dyDescent="0.3"/>
    <row r="227" customFormat="1" ht="14.25" customHeight="1" x14ac:dyDescent="0.3"/>
    <row r="228" customFormat="1" ht="14.25" customHeight="1" x14ac:dyDescent="0.3"/>
    <row r="229" customFormat="1" ht="14.25" customHeight="1" x14ac:dyDescent="0.3"/>
    <row r="230" customFormat="1" ht="14.25" customHeight="1" x14ac:dyDescent="0.3"/>
    <row r="231" customFormat="1" ht="14.25" customHeight="1" x14ac:dyDescent="0.3"/>
    <row r="232" customFormat="1" ht="14.25" customHeight="1" x14ac:dyDescent="0.3"/>
    <row r="233" customFormat="1" ht="14.25" customHeight="1" x14ac:dyDescent="0.3"/>
    <row r="234" customFormat="1" ht="14.25" customHeight="1" x14ac:dyDescent="0.3"/>
    <row r="235" customFormat="1" ht="14.25" customHeight="1" x14ac:dyDescent="0.3"/>
    <row r="236" customFormat="1" ht="14.25" customHeight="1" x14ac:dyDescent="0.3"/>
    <row r="237" customFormat="1" ht="14.25" customHeight="1" x14ac:dyDescent="0.3"/>
    <row r="238" customFormat="1" ht="14.25" customHeight="1" x14ac:dyDescent="0.3"/>
    <row r="239" customFormat="1" ht="14.25" customHeight="1" x14ac:dyDescent="0.3"/>
    <row r="240" customFormat="1" ht="14.25" customHeight="1" x14ac:dyDescent="0.3"/>
    <row r="241" customFormat="1" ht="14.25" customHeight="1" x14ac:dyDescent="0.3"/>
    <row r="242" customFormat="1" ht="14.25" customHeight="1" x14ac:dyDescent="0.3"/>
    <row r="243" customFormat="1" ht="14.25" customHeight="1" x14ac:dyDescent="0.3"/>
    <row r="244" customFormat="1" ht="14.25" customHeight="1" x14ac:dyDescent="0.3"/>
    <row r="245" customFormat="1" ht="14.25" customHeight="1" x14ac:dyDescent="0.3"/>
    <row r="246" customFormat="1" ht="14.25" customHeight="1" x14ac:dyDescent="0.3"/>
    <row r="247" customFormat="1" ht="14.25" customHeight="1" x14ac:dyDescent="0.3"/>
    <row r="248" customFormat="1" ht="14.25" customHeight="1" x14ac:dyDescent="0.3"/>
    <row r="249" customFormat="1" ht="14.25" customHeight="1" x14ac:dyDescent="0.3"/>
    <row r="250" customFormat="1" ht="14.25" customHeight="1" x14ac:dyDescent="0.3"/>
    <row r="251" customFormat="1" ht="14.25" customHeight="1" x14ac:dyDescent="0.3"/>
    <row r="252" customFormat="1" ht="14.25" customHeight="1" x14ac:dyDescent="0.3"/>
    <row r="253" customFormat="1" ht="14.25" customHeight="1" x14ac:dyDescent="0.3"/>
    <row r="254" customFormat="1" ht="14.25" customHeight="1" x14ac:dyDescent="0.3"/>
    <row r="255" customFormat="1" ht="14.25" customHeight="1" x14ac:dyDescent="0.3"/>
    <row r="256" customFormat="1" ht="14.25" customHeight="1" x14ac:dyDescent="0.3"/>
    <row r="257" customFormat="1" ht="14.25" customHeight="1" x14ac:dyDescent="0.3"/>
    <row r="258" customFormat="1" ht="14.25" customHeight="1" x14ac:dyDescent="0.3"/>
    <row r="259" customFormat="1" ht="14.25" customHeight="1" x14ac:dyDescent="0.3"/>
    <row r="260" customFormat="1" ht="14.25" customHeight="1" x14ac:dyDescent="0.3"/>
    <row r="261" customFormat="1" ht="14.25" customHeight="1" x14ac:dyDescent="0.3"/>
    <row r="262" customFormat="1" ht="14.25" customHeight="1" x14ac:dyDescent="0.3"/>
    <row r="263" customFormat="1" ht="14.25" customHeight="1" x14ac:dyDescent="0.3"/>
    <row r="264" customFormat="1" ht="14.25" customHeight="1" x14ac:dyDescent="0.3"/>
    <row r="265" customFormat="1" ht="14.25" customHeight="1" x14ac:dyDescent="0.3"/>
    <row r="266" customFormat="1" ht="14.25" customHeight="1" x14ac:dyDescent="0.3"/>
    <row r="267" customFormat="1" ht="14.25" customHeight="1" x14ac:dyDescent="0.3"/>
    <row r="268" customFormat="1" ht="14.25" customHeight="1" x14ac:dyDescent="0.3"/>
    <row r="269" customFormat="1" ht="14.25" customHeight="1" x14ac:dyDescent="0.3"/>
    <row r="270" customFormat="1" ht="14.25" customHeight="1" x14ac:dyDescent="0.3"/>
    <row r="271" customFormat="1" ht="14.25" customHeight="1" x14ac:dyDescent="0.3"/>
    <row r="272" customFormat="1" ht="14.25" customHeight="1" x14ac:dyDescent="0.3"/>
    <row r="273" customFormat="1" ht="14.25" customHeight="1" x14ac:dyDescent="0.3"/>
    <row r="274" customFormat="1" ht="14.25" customHeight="1" x14ac:dyDescent="0.3"/>
    <row r="275" customFormat="1" ht="14.25" customHeight="1" x14ac:dyDescent="0.3"/>
    <row r="276" customFormat="1" ht="14.25" customHeight="1" x14ac:dyDescent="0.3"/>
    <row r="277" customFormat="1" ht="14.25" customHeight="1" x14ac:dyDescent="0.3"/>
    <row r="278" customFormat="1" ht="14.25" customHeight="1" x14ac:dyDescent="0.3"/>
    <row r="279" customFormat="1" ht="14.25" customHeight="1" x14ac:dyDescent="0.3"/>
    <row r="280" customFormat="1" ht="14.25" customHeight="1" x14ac:dyDescent="0.3"/>
    <row r="281" customFormat="1" ht="14.25" customHeight="1" x14ac:dyDescent="0.3"/>
    <row r="282" customFormat="1" ht="14.25" customHeight="1" x14ac:dyDescent="0.3"/>
    <row r="283" customFormat="1" ht="14.25" customHeight="1" x14ac:dyDescent="0.3"/>
    <row r="284" customFormat="1" ht="14.25" customHeight="1" x14ac:dyDescent="0.3"/>
    <row r="285" customFormat="1" ht="14.25" customHeight="1" x14ac:dyDescent="0.3"/>
    <row r="286" customFormat="1" ht="14.25" customHeight="1" x14ac:dyDescent="0.3"/>
    <row r="287" customFormat="1" ht="14.25" customHeight="1" x14ac:dyDescent="0.3"/>
    <row r="288" customFormat="1" ht="14.25" customHeight="1" x14ac:dyDescent="0.3"/>
    <row r="289" customFormat="1" ht="14.25" customHeight="1" x14ac:dyDescent="0.3"/>
    <row r="290" customFormat="1" ht="14.25" customHeight="1" x14ac:dyDescent="0.3"/>
    <row r="291" customFormat="1" ht="14.25" customHeight="1" x14ac:dyDescent="0.3"/>
    <row r="292" customFormat="1" ht="14.25" customHeight="1" x14ac:dyDescent="0.3"/>
    <row r="293" customFormat="1" ht="14.25" customHeight="1" x14ac:dyDescent="0.3"/>
    <row r="294" customFormat="1" ht="14.25" customHeight="1" x14ac:dyDescent="0.3"/>
    <row r="295" customFormat="1" ht="14.25" customHeight="1" x14ac:dyDescent="0.3"/>
    <row r="296" customFormat="1" ht="14.25" customHeight="1" x14ac:dyDescent="0.3"/>
    <row r="297" customFormat="1" ht="14.25" customHeight="1" x14ac:dyDescent="0.3"/>
    <row r="298" customFormat="1" ht="14.25" customHeight="1" x14ac:dyDescent="0.3"/>
    <row r="299" customFormat="1" ht="14.25" customHeight="1" x14ac:dyDescent="0.3"/>
    <row r="300" customFormat="1" ht="14.25" customHeight="1" x14ac:dyDescent="0.3"/>
    <row r="301" customFormat="1" ht="14.25" customHeight="1" x14ac:dyDescent="0.3"/>
    <row r="302" customFormat="1" ht="14.25" customHeight="1" x14ac:dyDescent="0.3"/>
    <row r="303" customFormat="1" ht="14.25" customHeight="1" x14ac:dyDescent="0.3"/>
    <row r="304" customFormat="1" ht="14.25" customHeight="1" x14ac:dyDescent="0.3"/>
    <row r="305" customFormat="1" ht="14.25" customHeight="1" x14ac:dyDescent="0.3"/>
    <row r="306" customFormat="1" ht="14.25" customHeight="1" x14ac:dyDescent="0.3"/>
    <row r="307" customFormat="1" ht="14.25" customHeight="1" x14ac:dyDescent="0.3"/>
    <row r="308" customFormat="1" ht="14.25" customHeight="1" x14ac:dyDescent="0.3"/>
    <row r="309" customFormat="1" ht="14.25" customHeight="1" x14ac:dyDescent="0.3"/>
    <row r="310" customFormat="1" ht="14.25" customHeight="1" x14ac:dyDescent="0.3"/>
    <row r="311" customFormat="1" ht="14.25" customHeight="1" x14ac:dyDescent="0.3"/>
    <row r="312" customFormat="1" ht="14.25" customHeight="1" x14ac:dyDescent="0.3"/>
    <row r="313" customFormat="1" ht="14.25" customHeight="1" x14ac:dyDescent="0.3"/>
    <row r="314" customFormat="1" ht="14.25" customHeight="1" x14ac:dyDescent="0.3"/>
    <row r="315" customFormat="1" ht="14.25" customHeight="1" x14ac:dyDescent="0.3"/>
    <row r="316" customFormat="1" ht="14.25" customHeight="1" x14ac:dyDescent="0.3"/>
    <row r="317" customFormat="1" ht="14.25" customHeight="1" x14ac:dyDescent="0.3"/>
    <row r="318" customFormat="1" ht="14.25" customHeight="1" x14ac:dyDescent="0.3"/>
    <row r="319" customFormat="1" ht="14.25" customHeight="1" x14ac:dyDescent="0.3"/>
    <row r="320" customFormat="1" ht="14.25" customHeight="1" x14ac:dyDescent="0.3"/>
    <row r="321" customFormat="1" ht="14.25" customHeight="1" x14ac:dyDescent="0.3"/>
    <row r="322" customFormat="1" ht="14.25" customHeight="1" x14ac:dyDescent="0.3"/>
    <row r="323" customFormat="1" ht="14.25" customHeight="1" x14ac:dyDescent="0.3"/>
    <row r="324" customFormat="1" ht="14.25" customHeight="1" x14ac:dyDescent="0.3"/>
    <row r="325" customFormat="1" ht="14.25" customHeight="1" x14ac:dyDescent="0.3"/>
    <row r="326" customFormat="1" ht="14.25" customHeight="1" x14ac:dyDescent="0.3"/>
    <row r="327" customFormat="1" ht="14.25" customHeight="1" x14ac:dyDescent="0.3"/>
    <row r="328" customFormat="1" ht="14.25" customHeight="1" x14ac:dyDescent="0.3"/>
    <row r="329" customFormat="1" ht="14.25" customHeight="1" x14ac:dyDescent="0.3"/>
    <row r="330" customFormat="1" ht="14.25" customHeight="1" x14ac:dyDescent="0.3"/>
    <row r="331" customFormat="1" ht="14.25" customHeight="1" x14ac:dyDescent="0.3"/>
    <row r="332" customFormat="1" ht="14.25" customHeight="1" x14ac:dyDescent="0.3"/>
    <row r="333" customFormat="1" ht="14.25" customHeight="1" x14ac:dyDescent="0.3"/>
    <row r="334" customFormat="1" ht="14.25" customHeight="1" x14ac:dyDescent="0.3"/>
    <row r="335" customFormat="1" ht="14.25" customHeight="1" x14ac:dyDescent="0.3"/>
    <row r="336" customFormat="1" ht="14.25" customHeight="1" x14ac:dyDescent="0.3"/>
    <row r="337" customFormat="1" ht="14.25" customHeight="1" x14ac:dyDescent="0.3"/>
    <row r="338" customFormat="1" ht="14.25" customHeight="1" x14ac:dyDescent="0.3"/>
    <row r="339" customFormat="1" ht="14.25" customHeight="1" x14ac:dyDescent="0.3"/>
    <row r="340" customFormat="1" ht="14.25" customHeight="1" x14ac:dyDescent="0.3"/>
    <row r="341" customFormat="1" ht="14.25" customHeight="1" x14ac:dyDescent="0.3"/>
    <row r="342" customFormat="1" ht="14.25" customHeight="1" x14ac:dyDescent="0.3"/>
    <row r="343" customFormat="1" ht="14.25" customHeight="1" x14ac:dyDescent="0.3"/>
    <row r="344" customFormat="1" ht="14.25" customHeight="1" x14ac:dyDescent="0.3"/>
    <row r="345" customFormat="1" ht="14.25" customHeight="1" x14ac:dyDescent="0.3"/>
    <row r="346" customFormat="1" ht="14.25" customHeight="1" x14ac:dyDescent="0.3"/>
    <row r="347" customFormat="1" ht="14.25" customHeight="1" x14ac:dyDescent="0.3"/>
    <row r="348" customFormat="1" ht="14.25" customHeight="1" x14ac:dyDescent="0.3"/>
    <row r="349" customFormat="1" ht="14.25" customHeight="1" x14ac:dyDescent="0.3"/>
    <row r="350" customFormat="1" ht="14.25" customHeight="1" x14ac:dyDescent="0.3"/>
    <row r="351" customFormat="1" ht="14.25" customHeight="1" x14ac:dyDescent="0.3"/>
    <row r="352" customFormat="1" ht="14.25" customHeight="1" x14ac:dyDescent="0.3"/>
    <row r="353" customFormat="1" ht="14.25" customHeight="1" x14ac:dyDescent="0.3"/>
    <row r="354" customFormat="1" ht="14.25" customHeight="1" x14ac:dyDescent="0.3"/>
    <row r="355" customFormat="1" ht="14.25" customHeight="1" x14ac:dyDescent="0.3"/>
    <row r="356" customFormat="1" ht="14.25" customHeight="1" x14ac:dyDescent="0.3"/>
    <row r="357" customFormat="1" ht="14.25" customHeight="1" x14ac:dyDescent="0.3"/>
    <row r="358" customFormat="1" ht="14.25" customHeight="1" x14ac:dyDescent="0.3"/>
    <row r="359" customFormat="1" ht="14.25" customHeight="1" x14ac:dyDescent="0.3"/>
    <row r="360" customFormat="1" ht="14.25" customHeight="1" x14ac:dyDescent="0.3"/>
    <row r="361" customFormat="1" ht="14.25" customHeight="1" x14ac:dyDescent="0.3"/>
    <row r="362" customFormat="1" ht="14.25" customHeight="1" x14ac:dyDescent="0.3"/>
    <row r="363" customFormat="1" ht="14.25" customHeight="1" x14ac:dyDescent="0.3"/>
    <row r="364" customFormat="1" ht="14.25" customHeight="1" x14ac:dyDescent="0.3"/>
    <row r="365" customFormat="1" ht="14.25" customHeight="1" x14ac:dyDescent="0.3"/>
    <row r="366" customFormat="1" ht="14.25" customHeight="1" x14ac:dyDescent="0.3"/>
    <row r="367" customFormat="1" ht="14.25" customHeight="1" x14ac:dyDescent="0.3"/>
    <row r="368" customFormat="1" ht="14.25" customHeight="1" x14ac:dyDescent="0.3"/>
    <row r="369" customFormat="1" ht="14.25" customHeight="1" x14ac:dyDescent="0.3"/>
    <row r="370" customFormat="1" ht="14.25" customHeight="1" x14ac:dyDescent="0.3"/>
    <row r="371" customFormat="1" ht="14.25" customHeight="1" x14ac:dyDescent="0.3"/>
    <row r="372" customFormat="1" ht="14.25" customHeight="1" x14ac:dyDescent="0.3"/>
    <row r="373" customFormat="1" ht="14.25" customHeight="1" x14ac:dyDescent="0.3"/>
    <row r="374" customFormat="1" ht="14.25" customHeight="1" x14ac:dyDescent="0.3"/>
    <row r="375" customFormat="1" ht="14.25" customHeight="1" x14ac:dyDescent="0.3"/>
    <row r="376" customFormat="1" ht="14.25" customHeight="1" x14ac:dyDescent="0.3"/>
    <row r="377" customFormat="1" ht="14.25" customHeight="1" x14ac:dyDescent="0.3"/>
    <row r="378" customFormat="1" ht="14.25" customHeight="1" x14ac:dyDescent="0.3"/>
    <row r="379" customFormat="1" ht="14.25" customHeight="1" x14ac:dyDescent="0.3"/>
    <row r="380" customFormat="1" ht="14.25" customHeight="1" x14ac:dyDescent="0.3"/>
    <row r="381" customFormat="1" ht="14.25" customHeight="1" x14ac:dyDescent="0.3"/>
    <row r="382" customFormat="1" ht="14.25" customHeight="1" x14ac:dyDescent="0.3"/>
    <row r="383" customFormat="1" ht="14.25" customHeight="1" x14ac:dyDescent="0.3"/>
    <row r="384" customFormat="1" ht="14.25" customHeight="1" x14ac:dyDescent="0.3"/>
    <row r="385" customFormat="1" ht="14.25" customHeight="1" x14ac:dyDescent="0.3"/>
    <row r="386" customFormat="1" ht="14.25" customHeight="1" x14ac:dyDescent="0.3"/>
    <row r="387" customFormat="1" ht="14.25" customHeight="1" x14ac:dyDescent="0.3"/>
    <row r="388" customFormat="1" ht="14.25" customHeight="1" x14ac:dyDescent="0.3"/>
    <row r="389" customFormat="1" ht="14.25" customHeight="1" x14ac:dyDescent="0.3"/>
    <row r="390" customFormat="1" ht="14.25" customHeight="1" x14ac:dyDescent="0.3"/>
    <row r="391" customFormat="1" ht="14.25" customHeight="1" x14ac:dyDescent="0.3"/>
    <row r="392" customFormat="1" ht="14.25" customHeight="1" x14ac:dyDescent="0.3"/>
    <row r="393" customFormat="1" ht="14.25" customHeight="1" x14ac:dyDescent="0.3"/>
    <row r="394" customFormat="1" ht="14.25" customHeight="1" x14ac:dyDescent="0.3"/>
    <row r="395" customFormat="1" ht="14.25" customHeight="1" x14ac:dyDescent="0.3"/>
    <row r="396" customFormat="1" ht="14.25" customHeight="1" x14ac:dyDescent="0.3"/>
    <row r="397" customFormat="1" ht="14.25" customHeight="1" x14ac:dyDescent="0.3"/>
    <row r="398" customFormat="1" ht="14.25" customHeight="1" x14ac:dyDescent="0.3"/>
    <row r="399" customFormat="1" ht="14.25" customHeight="1" x14ac:dyDescent="0.3"/>
    <row r="400" customFormat="1" ht="14.25" customHeight="1" x14ac:dyDescent="0.3"/>
    <row r="401" customFormat="1" ht="14.25" customHeight="1" x14ac:dyDescent="0.3"/>
    <row r="402" customFormat="1" ht="14.25" customHeight="1" x14ac:dyDescent="0.3"/>
    <row r="403" customFormat="1" ht="14.25" customHeight="1" x14ac:dyDescent="0.3"/>
    <row r="404" customFormat="1" ht="14.25" customHeight="1" x14ac:dyDescent="0.3"/>
    <row r="405" customFormat="1" ht="14.25" customHeight="1" x14ac:dyDescent="0.3"/>
    <row r="406" customFormat="1" ht="14.25" customHeight="1" x14ac:dyDescent="0.3"/>
    <row r="407" customFormat="1" ht="14.25" customHeight="1" x14ac:dyDescent="0.3"/>
    <row r="408" customFormat="1" ht="14.25" customHeight="1" x14ac:dyDescent="0.3"/>
    <row r="409" customFormat="1" ht="14.25" customHeight="1" x14ac:dyDescent="0.3"/>
    <row r="410" customFormat="1" ht="14.25" customHeight="1" x14ac:dyDescent="0.3"/>
    <row r="411" customFormat="1" ht="14.25" customHeight="1" x14ac:dyDescent="0.3"/>
    <row r="412" customFormat="1" ht="14.25" customHeight="1" x14ac:dyDescent="0.3"/>
    <row r="413" customFormat="1" ht="14.25" customHeight="1" x14ac:dyDescent="0.3"/>
    <row r="414" customFormat="1" ht="14.25" customHeight="1" x14ac:dyDescent="0.3"/>
    <row r="415" customFormat="1" ht="14.25" customHeight="1" x14ac:dyDescent="0.3"/>
    <row r="416" customFormat="1" ht="14.25" customHeight="1" x14ac:dyDescent="0.3"/>
    <row r="417" customFormat="1" ht="14.25" customHeight="1" x14ac:dyDescent="0.3"/>
    <row r="418" customFormat="1" ht="14.25" customHeight="1" x14ac:dyDescent="0.3"/>
    <row r="419" customFormat="1" ht="14.25" customHeight="1" x14ac:dyDescent="0.3"/>
    <row r="420" customFormat="1" ht="14.25" customHeight="1" x14ac:dyDescent="0.3"/>
    <row r="421" customFormat="1" ht="14.25" customHeight="1" x14ac:dyDescent="0.3"/>
    <row r="422" customFormat="1" ht="14.25" customHeight="1" x14ac:dyDescent="0.3"/>
    <row r="423" customFormat="1" ht="14.25" customHeight="1" x14ac:dyDescent="0.3"/>
    <row r="424" customFormat="1" ht="14.25" customHeight="1" x14ac:dyDescent="0.3"/>
    <row r="425" customFormat="1" ht="14.25" customHeight="1" x14ac:dyDescent="0.3"/>
    <row r="426" customFormat="1" ht="14.25" customHeight="1" x14ac:dyDescent="0.3"/>
    <row r="427" customFormat="1" ht="14.25" customHeight="1" x14ac:dyDescent="0.3"/>
    <row r="428" customFormat="1" ht="14.25" customHeight="1" x14ac:dyDescent="0.3"/>
    <row r="429" customFormat="1" ht="14.25" customHeight="1" x14ac:dyDescent="0.3"/>
    <row r="430" customFormat="1" ht="14.25" customHeight="1" x14ac:dyDescent="0.3"/>
    <row r="431" customFormat="1" ht="14.25" customHeight="1" x14ac:dyDescent="0.3"/>
    <row r="432" customFormat="1" ht="14.25" customHeight="1" x14ac:dyDescent="0.3"/>
    <row r="433" customFormat="1" ht="14.25" customHeight="1" x14ac:dyDescent="0.3"/>
    <row r="434" customFormat="1" ht="14.25" customHeight="1" x14ac:dyDescent="0.3"/>
    <row r="435" customFormat="1" ht="14.25" customHeight="1" x14ac:dyDescent="0.3"/>
    <row r="436" customFormat="1" ht="14.25" customHeight="1" x14ac:dyDescent="0.3"/>
    <row r="437" customFormat="1" ht="14.25" customHeight="1" x14ac:dyDescent="0.3"/>
    <row r="438" customFormat="1" ht="14.25" customHeight="1" x14ac:dyDescent="0.3"/>
    <row r="439" customFormat="1" ht="14.25" customHeight="1" x14ac:dyDescent="0.3"/>
    <row r="440" customFormat="1" ht="14.25" customHeight="1" x14ac:dyDescent="0.3"/>
    <row r="441" customFormat="1" ht="14.25" customHeight="1" x14ac:dyDescent="0.3"/>
    <row r="442" customFormat="1" ht="14.25" customHeight="1" x14ac:dyDescent="0.3"/>
    <row r="443" customFormat="1" ht="14.25" customHeight="1" x14ac:dyDescent="0.3"/>
    <row r="444" customFormat="1" ht="14.25" customHeight="1" x14ac:dyDescent="0.3"/>
    <row r="445" customFormat="1" ht="14.25" customHeight="1" x14ac:dyDescent="0.3"/>
    <row r="446" customFormat="1" ht="14.25" customHeight="1" x14ac:dyDescent="0.3"/>
    <row r="447" customFormat="1" ht="14.25" customHeight="1" x14ac:dyDescent="0.3"/>
    <row r="448" customFormat="1" ht="14.25" customHeight="1" x14ac:dyDescent="0.3"/>
    <row r="449" customFormat="1" ht="14.25" customHeight="1" x14ac:dyDescent="0.3"/>
    <row r="450" customFormat="1" ht="14.25" customHeight="1" x14ac:dyDescent="0.3"/>
    <row r="451" customFormat="1" ht="14.25" customHeight="1" x14ac:dyDescent="0.3"/>
    <row r="452" customFormat="1" ht="14.25" customHeight="1" x14ac:dyDescent="0.3"/>
    <row r="453" customFormat="1" ht="14.25" customHeight="1" x14ac:dyDescent="0.3"/>
    <row r="454" customFormat="1" ht="14.25" customHeight="1" x14ac:dyDescent="0.3"/>
    <row r="455" customFormat="1" ht="14.25" customHeight="1" x14ac:dyDescent="0.3"/>
    <row r="456" customFormat="1" ht="14.25" customHeight="1" x14ac:dyDescent="0.3"/>
    <row r="457" customFormat="1" ht="14.25" customHeight="1" x14ac:dyDescent="0.3"/>
    <row r="458" customFormat="1" ht="14.25" customHeight="1" x14ac:dyDescent="0.3"/>
    <row r="459" customFormat="1" ht="14.25" customHeight="1" x14ac:dyDescent="0.3"/>
    <row r="460" customFormat="1" ht="14.25" customHeight="1" x14ac:dyDescent="0.3"/>
    <row r="461" customFormat="1" ht="14.25" customHeight="1" x14ac:dyDescent="0.3"/>
    <row r="462" customFormat="1" ht="14.25" customHeight="1" x14ac:dyDescent="0.3"/>
    <row r="463" customFormat="1" ht="14.25" customHeight="1" x14ac:dyDescent="0.3"/>
    <row r="464" customFormat="1" ht="14.25" customHeight="1" x14ac:dyDescent="0.3"/>
    <row r="465" customFormat="1" ht="14.25" customHeight="1" x14ac:dyDescent="0.3"/>
    <row r="466" customFormat="1" ht="14.25" customHeight="1" x14ac:dyDescent="0.3"/>
    <row r="467" customFormat="1" ht="14.25" customHeight="1" x14ac:dyDescent="0.3"/>
    <row r="468" customFormat="1" ht="14.25" customHeight="1" x14ac:dyDescent="0.3"/>
    <row r="469" customFormat="1" ht="14.25" customHeight="1" x14ac:dyDescent="0.3"/>
    <row r="470" customFormat="1" ht="14.25" customHeight="1" x14ac:dyDescent="0.3"/>
    <row r="471" customFormat="1" ht="14.25" customHeight="1" x14ac:dyDescent="0.3"/>
    <row r="472" customFormat="1" ht="14.25" customHeight="1" x14ac:dyDescent="0.3"/>
    <row r="473" customFormat="1" ht="14.25" customHeight="1" x14ac:dyDescent="0.3"/>
    <row r="474" customFormat="1" ht="14.25" customHeight="1" x14ac:dyDescent="0.3"/>
    <row r="475" customFormat="1" ht="14.25" customHeight="1" x14ac:dyDescent="0.3"/>
    <row r="476" customFormat="1" ht="14.25" customHeight="1" x14ac:dyDescent="0.3"/>
    <row r="477" customFormat="1" ht="14.25" customHeight="1" x14ac:dyDescent="0.3"/>
    <row r="478" customFormat="1" ht="14.25" customHeight="1" x14ac:dyDescent="0.3"/>
    <row r="479" customFormat="1" ht="14.25" customHeight="1" x14ac:dyDescent="0.3"/>
    <row r="480" customFormat="1" ht="14.25" customHeight="1" x14ac:dyDescent="0.3"/>
    <row r="481" customFormat="1" ht="14.25" customHeight="1" x14ac:dyDescent="0.3"/>
    <row r="482" customFormat="1" ht="14.25" customHeight="1" x14ac:dyDescent="0.3"/>
    <row r="483" customFormat="1" ht="14.25" customHeight="1" x14ac:dyDescent="0.3"/>
    <row r="484" customFormat="1" ht="14.25" customHeight="1" x14ac:dyDescent="0.3"/>
    <row r="485" customFormat="1" ht="14.25" customHeight="1" x14ac:dyDescent="0.3"/>
    <row r="486" customFormat="1" ht="14.25" customHeight="1" x14ac:dyDescent="0.3"/>
    <row r="487" customFormat="1" ht="14.25" customHeight="1" x14ac:dyDescent="0.3"/>
    <row r="488" customFormat="1" ht="14.25" customHeight="1" x14ac:dyDescent="0.3"/>
    <row r="489" customFormat="1" ht="14.25" customHeight="1" x14ac:dyDescent="0.3"/>
    <row r="490" customFormat="1" ht="14.25" customHeight="1" x14ac:dyDescent="0.3"/>
    <row r="491" customFormat="1" ht="14.25" customHeight="1" x14ac:dyDescent="0.3"/>
    <row r="492" customFormat="1" ht="14.25" customHeight="1" x14ac:dyDescent="0.3"/>
    <row r="493" customFormat="1" ht="14.25" customHeight="1" x14ac:dyDescent="0.3"/>
    <row r="494" customFormat="1" ht="14.25" customHeight="1" x14ac:dyDescent="0.3"/>
    <row r="495" customFormat="1" ht="14.25" customHeight="1" x14ac:dyDescent="0.3"/>
    <row r="496" customFormat="1" ht="14.25" customHeight="1" x14ac:dyDescent="0.3"/>
    <row r="497" customFormat="1" ht="14.25" customHeight="1" x14ac:dyDescent="0.3"/>
    <row r="498" customFormat="1" ht="14.25" customHeight="1" x14ac:dyDescent="0.3"/>
    <row r="499" customFormat="1" ht="14.25" customHeight="1" x14ac:dyDescent="0.3"/>
    <row r="500" customFormat="1" ht="14.25" customHeight="1" x14ac:dyDescent="0.3"/>
    <row r="501" customFormat="1" ht="14.25" customHeight="1" x14ac:dyDescent="0.3"/>
    <row r="502" customFormat="1" ht="14.25" customHeight="1" x14ac:dyDescent="0.3"/>
    <row r="503" customFormat="1" ht="14.25" customHeight="1" x14ac:dyDescent="0.3"/>
    <row r="504" customFormat="1" ht="14.25" customHeight="1" x14ac:dyDescent="0.3"/>
    <row r="505" customFormat="1" ht="14.25" customHeight="1" x14ac:dyDescent="0.3"/>
    <row r="506" customFormat="1" ht="14.25" customHeight="1" x14ac:dyDescent="0.3"/>
    <row r="507" customFormat="1" ht="14.25" customHeight="1" x14ac:dyDescent="0.3"/>
    <row r="508" customFormat="1" ht="14.25" customHeight="1" x14ac:dyDescent="0.3"/>
    <row r="509" customFormat="1" ht="14.25" customHeight="1" x14ac:dyDescent="0.3"/>
    <row r="510" customFormat="1" ht="14.25" customHeight="1" x14ac:dyDescent="0.3"/>
    <row r="511" customFormat="1" ht="14.25" customHeight="1" x14ac:dyDescent="0.3"/>
    <row r="512" customFormat="1" ht="14.25" customHeight="1" x14ac:dyDescent="0.3"/>
    <row r="513" customFormat="1" ht="14.25" customHeight="1" x14ac:dyDescent="0.3"/>
    <row r="514" customFormat="1" ht="14.25" customHeight="1" x14ac:dyDescent="0.3"/>
    <row r="515" customFormat="1" ht="14.25" customHeight="1" x14ac:dyDescent="0.3"/>
    <row r="516" customFormat="1" ht="14.25" customHeight="1" x14ac:dyDescent="0.3"/>
    <row r="517" customFormat="1" ht="14.25" customHeight="1" x14ac:dyDescent="0.3"/>
    <row r="518" customFormat="1" ht="14.25" customHeight="1" x14ac:dyDescent="0.3"/>
    <row r="519" customFormat="1" ht="14.25" customHeight="1" x14ac:dyDescent="0.3"/>
    <row r="520" customFormat="1" ht="14.25" customHeight="1" x14ac:dyDescent="0.3"/>
    <row r="521" customFormat="1" ht="14.25" customHeight="1" x14ac:dyDescent="0.3"/>
    <row r="522" customFormat="1" ht="14.25" customHeight="1" x14ac:dyDescent="0.3"/>
    <row r="523" customFormat="1" ht="14.25" customHeight="1" x14ac:dyDescent="0.3"/>
    <row r="524" customFormat="1" ht="14.25" customHeight="1" x14ac:dyDescent="0.3"/>
    <row r="525" customFormat="1" ht="14.25" customHeight="1" x14ac:dyDescent="0.3"/>
    <row r="526" customFormat="1" ht="14.25" customHeight="1" x14ac:dyDescent="0.3"/>
    <row r="527" customFormat="1" ht="14.25" customHeight="1" x14ac:dyDescent="0.3"/>
    <row r="528" customFormat="1" ht="14.25" customHeight="1" x14ac:dyDescent="0.3"/>
    <row r="529" customFormat="1" ht="14.25" customHeight="1" x14ac:dyDescent="0.3"/>
    <row r="530" customFormat="1" ht="14.25" customHeight="1" x14ac:dyDescent="0.3"/>
    <row r="531" customFormat="1" ht="14.25" customHeight="1" x14ac:dyDescent="0.3"/>
    <row r="532" customFormat="1" ht="14.25" customHeight="1" x14ac:dyDescent="0.3"/>
    <row r="533" customFormat="1" ht="14.25" customHeight="1" x14ac:dyDescent="0.3"/>
    <row r="534" customFormat="1" ht="14.25" customHeight="1" x14ac:dyDescent="0.3"/>
    <row r="535" customFormat="1" ht="14.25" customHeight="1" x14ac:dyDescent="0.3"/>
    <row r="536" customFormat="1" ht="14.25" customHeight="1" x14ac:dyDescent="0.3"/>
    <row r="537" customFormat="1" ht="14.25" customHeight="1" x14ac:dyDescent="0.3"/>
    <row r="538" customFormat="1" ht="14.25" customHeight="1" x14ac:dyDescent="0.3"/>
    <row r="539" customFormat="1" ht="14.25" customHeight="1" x14ac:dyDescent="0.3"/>
    <row r="540" customFormat="1" ht="14.25" customHeight="1" x14ac:dyDescent="0.3"/>
    <row r="541" customFormat="1" ht="14.25" customHeight="1" x14ac:dyDescent="0.3"/>
    <row r="542" customFormat="1" ht="14.25" customHeight="1" x14ac:dyDescent="0.3"/>
    <row r="543" customFormat="1" ht="14.25" customHeight="1" x14ac:dyDescent="0.3"/>
    <row r="544" customFormat="1" ht="14.25" customHeight="1" x14ac:dyDescent="0.3"/>
    <row r="545" customFormat="1" ht="14.25" customHeight="1" x14ac:dyDescent="0.3"/>
    <row r="546" customFormat="1" ht="14.25" customHeight="1" x14ac:dyDescent="0.3"/>
    <row r="547" customFormat="1" ht="14.25" customHeight="1" x14ac:dyDescent="0.3"/>
    <row r="548" customFormat="1" ht="14.25" customHeight="1" x14ac:dyDescent="0.3"/>
    <row r="549" customFormat="1" ht="14.25" customHeight="1" x14ac:dyDescent="0.3"/>
    <row r="550" customFormat="1" ht="14.25" customHeight="1" x14ac:dyDescent="0.3"/>
    <row r="551" customFormat="1" ht="14.25" customHeight="1" x14ac:dyDescent="0.3"/>
    <row r="552" customFormat="1" ht="14.25" customHeight="1" x14ac:dyDescent="0.3"/>
    <row r="553" customFormat="1" ht="14.25" customHeight="1" x14ac:dyDescent="0.3"/>
    <row r="554" customFormat="1" ht="14.25" customHeight="1" x14ac:dyDescent="0.3"/>
    <row r="555" customFormat="1" ht="14.25" customHeight="1" x14ac:dyDescent="0.3"/>
    <row r="556" customFormat="1" ht="14.25" customHeight="1" x14ac:dyDescent="0.3"/>
    <row r="557" customFormat="1" ht="14.25" customHeight="1" x14ac:dyDescent="0.3"/>
    <row r="558" customFormat="1" ht="14.25" customHeight="1" x14ac:dyDescent="0.3"/>
    <row r="559" customFormat="1" ht="14.25" customHeight="1" x14ac:dyDescent="0.3"/>
    <row r="560" customFormat="1" ht="14.25" customHeight="1" x14ac:dyDescent="0.3"/>
    <row r="561" customFormat="1" ht="14.25" customHeight="1" x14ac:dyDescent="0.3"/>
    <row r="562" customFormat="1" ht="14.25" customHeight="1" x14ac:dyDescent="0.3"/>
    <row r="563" customFormat="1" ht="14.25" customHeight="1" x14ac:dyDescent="0.3"/>
    <row r="564" customFormat="1" ht="14.25" customHeight="1" x14ac:dyDescent="0.3"/>
    <row r="565" customFormat="1" ht="14.25" customHeight="1" x14ac:dyDescent="0.3"/>
    <row r="566" customFormat="1" ht="14.25" customHeight="1" x14ac:dyDescent="0.3"/>
    <row r="567" customFormat="1" ht="14.25" customHeight="1" x14ac:dyDescent="0.3"/>
    <row r="568" customFormat="1" ht="14.25" customHeight="1" x14ac:dyDescent="0.3"/>
    <row r="569" customFormat="1" ht="14.25" customHeight="1" x14ac:dyDescent="0.3"/>
    <row r="570" customFormat="1" ht="14.25" customHeight="1" x14ac:dyDescent="0.3"/>
    <row r="571" customFormat="1" ht="14.25" customHeight="1" x14ac:dyDescent="0.3"/>
    <row r="572" customFormat="1" ht="14.25" customHeight="1" x14ac:dyDescent="0.3"/>
    <row r="573" customFormat="1" ht="14.25" customHeight="1" x14ac:dyDescent="0.3"/>
    <row r="574" customFormat="1" ht="14.25" customHeight="1" x14ac:dyDescent="0.3"/>
    <row r="575" customFormat="1" ht="14.25" customHeight="1" x14ac:dyDescent="0.3"/>
    <row r="576" customFormat="1" ht="14.25" customHeight="1" x14ac:dyDescent="0.3"/>
    <row r="577" customFormat="1" ht="14.25" customHeight="1" x14ac:dyDescent="0.3"/>
    <row r="578" customFormat="1" ht="14.25" customHeight="1" x14ac:dyDescent="0.3"/>
    <row r="579" customFormat="1" ht="14.25" customHeight="1" x14ac:dyDescent="0.3"/>
    <row r="580" customFormat="1" ht="14.25" customHeight="1" x14ac:dyDescent="0.3"/>
    <row r="581" customFormat="1" ht="14.25" customHeight="1" x14ac:dyDescent="0.3"/>
    <row r="582" customFormat="1" ht="14.25" customHeight="1" x14ac:dyDescent="0.3"/>
    <row r="583" customFormat="1" ht="14.25" customHeight="1" x14ac:dyDescent="0.3"/>
    <row r="584" customFormat="1" ht="14.25" customHeight="1" x14ac:dyDescent="0.3"/>
    <row r="585" customFormat="1" ht="14.25" customHeight="1" x14ac:dyDescent="0.3"/>
    <row r="586" customFormat="1" ht="14.25" customHeight="1" x14ac:dyDescent="0.3"/>
    <row r="587" customFormat="1" ht="14.25" customHeight="1" x14ac:dyDescent="0.3"/>
    <row r="588" customFormat="1" ht="14.25" customHeight="1" x14ac:dyDescent="0.3"/>
    <row r="589" customFormat="1" ht="14.25" customHeight="1" x14ac:dyDescent="0.3"/>
    <row r="590" customFormat="1" ht="14.25" customHeight="1" x14ac:dyDescent="0.3"/>
    <row r="591" customFormat="1" ht="14.25" customHeight="1" x14ac:dyDescent="0.3"/>
    <row r="592" customFormat="1" ht="14.25" customHeight="1" x14ac:dyDescent="0.3"/>
    <row r="593" customFormat="1" ht="14.25" customHeight="1" x14ac:dyDescent="0.3"/>
    <row r="594" customFormat="1" ht="14.25" customHeight="1" x14ac:dyDescent="0.3"/>
    <row r="595" customFormat="1" ht="14.25" customHeight="1" x14ac:dyDescent="0.3"/>
    <row r="596" customFormat="1" ht="14.25" customHeight="1" x14ac:dyDescent="0.3"/>
    <row r="597" customFormat="1" ht="14.25" customHeight="1" x14ac:dyDescent="0.3"/>
    <row r="598" customFormat="1" ht="14.25" customHeight="1" x14ac:dyDescent="0.3"/>
    <row r="599" customFormat="1" ht="14.25" customHeight="1" x14ac:dyDescent="0.3"/>
    <row r="600" customFormat="1" ht="14.25" customHeight="1" x14ac:dyDescent="0.3"/>
    <row r="601" customFormat="1" ht="14.25" customHeight="1" x14ac:dyDescent="0.3"/>
    <row r="602" customFormat="1" ht="14.25" customHeight="1" x14ac:dyDescent="0.3"/>
    <row r="603" customFormat="1" ht="14.25" customHeight="1" x14ac:dyDescent="0.3"/>
    <row r="604" customFormat="1" ht="14.25" customHeight="1" x14ac:dyDescent="0.3"/>
    <row r="605" customFormat="1" ht="14.25" customHeight="1" x14ac:dyDescent="0.3"/>
    <row r="606" customFormat="1" ht="14.25" customHeight="1" x14ac:dyDescent="0.3"/>
    <row r="607" customFormat="1" ht="14.25" customHeight="1" x14ac:dyDescent="0.3"/>
    <row r="608" customFormat="1" ht="14.25" customHeight="1" x14ac:dyDescent="0.3"/>
    <row r="609" customFormat="1" ht="14.25" customHeight="1" x14ac:dyDescent="0.3"/>
    <row r="610" customFormat="1" ht="14.25" customHeight="1" x14ac:dyDescent="0.3"/>
    <row r="611" customFormat="1" ht="14.25" customHeight="1" x14ac:dyDescent="0.3"/>
    <row r="612" customFormat="1" ht="14.25" customHeight="1" x14ac:dyDescent="0.3"/>
    <row r="613" customFormat="1" ht="14.25" customHeight="1" x14ac:dyDescent="0.3"/>
    <row r="614" customFormat="1" ht="14.25" customHeight="1" x14ac:dyDescent="0.3"/>
    <row r="615" customFormat="1" ht="14.25" customHeight="1" x14ac:dyDescent="0.3"/>
    <row r="616" customFormat="1" ht="14.25" customHeight="1" x14ac:dyDescent="0.3"/>
    <row r="617" customFormat="1" ht="14.25" customHeight="1" x14ac:dyDescent="0.3"/>
    <row r="618" customFormat="1" ht="14.25" customHeight="1" x14ac:dyDescent="0.3"/>
    <row r="619" customFormat="1" ht="14.25" customHeight="1" x14ac:dyDescent="0.3"/>
    <row r="620" customFormat="1" ht="14.25" customHeight="1" x14ac:dyDescent="0.3"/>
    <row r="621" customFormat="1" ht="14.25" customHeight="1" x14ac:dyDescent="0.3"/>
    <row r="622" customFormat="1" ht="14.25" customHeight="1" x14ac:dyDescent="0.3"/>
    <row r="623" customFormat="1" ht="14.25" customHeight="1" x14ac:dyDescent="0.3"/>
    <row r="624" customFormat="1" ht="14.25" customHeight="1" x14ac:dyDescent="0.3"/>
    <row r="625" customFormat="1" ht="14.25" customHeight="1" x14ac:dyDescent="0.3"/>
    <row r="626" customFormat="1" ht="14.25" customHeight="1" x14ac:dyDescent="0.3"/>
    <row r="627" customFormat="1" ht="14.25" customHeight="1" x14ac:dyDescent="0.3"/>
    <row r="628" customFormat="1" ht="14.25" customHeight="1" x14ac:dyDescent="0.3"/>
    <row r="629" customFormat="1" ht="14.25" customHeight="1" x14ac:dyDescent="0.3"/>
    <row r="630" customFormat="1" ht="14.25" customHeight="1" x14ac:dyDescent="0.3"/>
    <row r="631" customFormat="1" ht="14.25" customHeight="1" x14ac:dyDescent="0.3"/>
    <row r="632" customFormat="1" ht="14.25" customHeight="1" x14ac:dyDescent="0.3"/>
    <row r="633" customFormat="1" ht="14.25" customHeight="1" x14ac:dyDescent="0.3"/>
    <row r="634" customFormat="1" ht="14.25" customHeight="1" x14ac:dyDescent="0.3"/>
    <row r="635" customFormat="1" ht="14.25" customHeight="1" x14ac:dyDescent="0.3"/>
    <row r="636" customFormat="1" ht="14.25" customHeight="1" x14ac:dyDescent="0.3"/>
    <row r="637" customFormat="1" ht="14.25" customHeight="1" x14ac:dyDescent="0.3"/>
    <row r="638" customFormat="1" ht="14.25" customHeight="1" x14ac:dyDescent="0.3"/>
    <row r="639" customFormat="1" ht="14.25" customHeight="1" x14ac:dyDescent="0.3"/>
    <row r="640" customFormat="1" ht="14.25" customHeight="1" x14ac:dyDescent="0.3"/>
    <row r="641" customFormat="1" ht="14.25" customHeight="1" x14ac:dyDescent="0.3"/>
    <row r="642" customFormat="1" ht="14.25" customHeight="1" x14ac:dyDescent="0.3"/>
    <row r="643" customFormat="1" ht="14.25" customHeight="1" x14ac:dyDescent="0.3"/>
    <row r="644" customFormat="1" ht="14.25" customHeight="1" x14ac:dyDescent="0.3"/>
    <row r="645" customFormat="1" ht="14.25" customHeight="1" x14ac:dyDescent="0.3"/>
    <row r="646" customFormat="1" ht="14.25" customHeight="1" x14ac:dyDescent="0.3"/>
    <row r="647" customFormat="1" ht="14.25" customHeight="1" x14ac:dyDescent="0.3"/>
    <row r="648" customFormat="1" ht="14.25" customHeight="1" x14ac:dyDescent="0.3"/>
    <row r="649" customFormat="1" ht="14.25" customHeight="1" x14ac:dyDescent="0.3"/>
    <row r="650" customFormat="1" ht="14.25" customHeight="1" x14ac:dyDescent="0.3"/>
    <row r="651" customFormat="1" ht="14.25" customHeight="1" x14ac:dyDescent="0.3"/>
    <row r="652" customFormat="1" ht="14.25" customHeight="1" x14ac:dyDescent="0.3"/>
    <row r="653" customFormat="1" ht="14.25" customHeight="1" x14ac:dyDescent="0.3"/>
    <row r="654" customFormat="1" ht="14.25" customHeight="1" x14ac:dyDescent="0.3"/>
    <row r="655" customFormat="1" ht="14.25" customHeight="1" x14ac:dyDescent="0.3"/>
    <row r="656" customFormat="1" ht="14.25" customHeight="1" x14ac:dyDescent="0.3"/>
    <row r="657" customFormat="1" ht="14.25" customHeight="1" x14ac:dyDescent="0.3"/>
    <row r="658" customFormat="1" ht="14.25" customHeight="1" x14ac:dyDescent="0.3"/>
    <row r="659" customFormat="1" ht="14.25" customHeight="1" x14ac:dyDescent="0.3"/>
    <row r="660" customFormat="1" ht="14.25" customHeight="1" x14ac:dyDescent="0.3"/>
    <row r="661" customFormat="1" ht="14.25" customHeight="1" x14ac:dyDescent="0.3"/>
    <row r="662" customFormat="1" ht="14.25" customHeight="1" x14ac:dyDescent="0.3"/>
    <row r="663" customFormat="1" ht="14.25" customHeight="1" x14ac:dyDescent="0.3"/>
    <row r="664" customFormat="1" ht="14.25" customHeight="1" x14ac:dyDescent="0.3"/>
    <row r="665" customFormat="1" ht="14.25" customHeight="1" x14ac:dyDescent="0.3"/>
    <row r="666" customFormat="1" ht="14.25" customHeight="1" x14ac:dyDescent="0.3"/>
    <row r="667" customFormat="1" ht="14.25" customHeight="1" x14ac:dyDescent="0.3"/>
    <row r="668" customFormat="1" ht="14.25" customHeight="1" x14ac:dyDescent="0.3"/>
    <row r="669" customFormat="1" ht="14.25" customHeight="1" x14ac:dyDescent="0.3"/>
    <row r="670" customFormat="1" ht="14.25" customHeight="1" x14ac:dyDescent="0.3"/>
    <row r="671" customFormat="1" ht="14.25" customHeight="1" x14ac:dyDescent="0.3"/>
    <row r="672" customFormat="1" ht="14.25" customHeight="1" x14ac:dyDescent="0.3"/>
    <row r="673" customFormat="1" ht="14.25" customHeight="1" x14ac:dyDescent="0.3"/>
    <row r="674" customFormat="1" ht="14.25" customHeight="1" x14ac:dyDescent="0.3"/>
    <row r="675" customFormat="1" ht="14.25" customHeight="1" x14ac:dyDescent="0.3"/>
    <row r="676" customFormat="1" ht="14.25" customHeight="1" x14ac:dyDescent="0.3"/>
    <row r="677" customFormat="1" ht="14.25" customHeight="1" x14ac:dyDescent="0.3"/>
    <row r="678" customFormat="1" ht="14.25" customHeight="1" x14ac:dyDescent="0.3"/>
    <row r="679" customFormat="1" ht="14.25" customHeight="1" x14ac:dyDescent="0.3"/>
    <row r="680" customFormat="1" ht="14.25" customHeight="1" x14ac:dyDescent="0.3"/>
    <row r="681" customFormat="1" ht="14.25" customHeight="1" x14ac:dyDescent="0.3"/>
    <row r="682" customFormat="1" ht="14.25" customHeight="1" x14ac:dyDescent="0.3"/>
    <row r="683" customFormat="1" ht="14.25" customHeight="1" x14ac:dyDescent="0.3"/>
    <row r="684" customFormat="1" ht="14.25" customHeight="1" x14ac:dyDescent="0.3"/>
    <row r="685" customFormat="1" ht="14.25" customHeight="1" x14ac:dyDescent="0.3"/>
    <row r="686" customFormat="1" ht="14.25" customHeight="1" x14ac:dyDescent="0.3"/>
    <row r="687" customFormat="1" ht="14.25" customHeight="1" x14ac:dyDescent="0.3"/>
    <row r="688" customFormat="1" ht="14.25" customHeight="1" x14ac:dyDescent="0.3"/>
    <row r="689" customFormat="1" ht="14.25" customHeight="1" x14ac:dyDescent="0.3"/>
    <row r="690" customFormat="1" ht="14.25" customHeight="1" x14ac:dyDescent="0.3"/>
    <row r="691" customFormat="1" ht="14.25" customHeight="1" x14ac:dyDescent="0.3"/>
    <row r="692" customFormat="1" ht="14.25" customHeight="1" x14ac:dyDescent="0.3"/>
    <row r="693" customFormat="1" ht="14.25" customHeight="1" x14ac:dyDescent="0.3"/>
    <row r="694" customFormat="1" ht="14.25" customHeight="1" x14ac:dyDescent="0.3"/>
    <row r="695" customFormat="1" ht="14.25" customHeight="1" x14ac:dyDescent="0.3"/>
    <row r="696" customFormat="1" ht="14.25" customHeight="1" x14ac:dyDescent="0.3"/>
    <row r="697" customFormat="1" ht="14.25" customHeight="1" x14ac:dyDescent="0.3"/>
    <row r="698" customFormat="1" ht="14.25" customHeight="1" x14ac:dyDescent="0.3"/>
    <row r="699" customFormat="1" ht="14.25" customHeight="1" x14ac:dyDescent="0.3"/>
    <row r="700" customFormat="1" ht="14.25" customHeight="1" x14ac:dyDescent="0.3"/>
    <row r="701" customFormat="1" ht="14.25" customHeight="1" x14ac:dyDescent="0.3"/>
    <row r="702" customFormat="1" ht="14.25" customHeight="1" x14ac:dyDescent="0.3"/>
    <row r="703" customFormat="1" ht="14.25" customHeight="1" x14ac:dyDescent="0.3"/>
    <row r="704" customFormat="1" ht="14.25" customHeight="1" x14ac:dyDescent="0.3"/>
    <row r="705" customFormat="1" ht="14.25" customHeight="1" x14ac:dyDescent="0.3"/>
    <row r="706" customFormat="1" ht="14.25" customHeight="1" x14ac:dyDescent="0.3"/>
    <row r="707" customFormat="1" ht="14.25" customHeight="1" x14ac:dyDescent="0.3"/>
    <row r="708" customFormat="1" ht="14.25" customHeight="1" x14ac:dyDescent="0.3"/>
    <row r="709" customFormat="1" ht="14.25" customHeight="1" x14ac:dyDescent="0.3"/>
    <row r="710" customFormat="1" ht="14.25" customHeight="1" x14ac:dyDescent="0.3"/>
    <row r="711" customFormat="1" ht="14.25" customHeight="1" x14ac:dyDescent="0.3"/>
    <row r="712" customFormat="1" ht="14.25" customHeight="1" x14ac:dyDescent="0.3"/>
    <row r="713" customFormat="1" ht="14.25" customHeight="1" x14ac:dyDescent="0.3"/>
    <row r="714" customFormat="1" ht="14.25" customHeight="1" x14ac:dyDescent="0.3"/>
    <row r="715" customFormat="1" ht="14.25" customHeight="1" x14ac:dyDescent="0.3"/>
    <row r="716" customFormat="1" ht="14.25" customHeight="1" x14ac:dyDescent="0.3"/>
    <row r="717" customFormat="1" ht="14.25" customHeight="1" x14ac:dyDescent="0.3"/>
    <row r="718" customFormat="1" ht="14.25" customHeight="1" x14ac:dyDescent="0.3"/>
    <row r="719" customFormat="1" ht="14.25" customHeight="1" x14ac:dyDescent="0.3"/>
    <row r="720" customFormat="1" ht="14.25" customHeight="1" x14ac:dyDescent="0.3"/>
    <row r="721" customFormat="1" ht="14.25" customHeight="1" x14ac:dyDescent="0.3"/>
    <row r="722" customFormat="1" ht="14.25" customHeight="1" x14ac:dyDescent="0.3"/>
    <row r="723" customFormat="1" ht="14.25" customHeight="1" x14ac:dyDescent="0.3"/>
    <row r="724" customFormat="1" ht="14.25" customHeight="1" x14ac:dyDescent="0.3"/>
    <row r="725" customFormat="1" ht="14.25" customHeight="1" x14ac:dyDescent="0.3"/>
    <row r="726" customFormat="1" ht="14.25" customHeight="1" x14ac:dyDescent="0.3"/>
    <row r="727" customFormat="1" ht="14.25" customHeight="1" x14ac:dyDescent="0.3"/>
    <row r="728" customFormat="1" ht="14.25" customHeight="1" x14ac:dyDescent="0.3"/>
    <row r="729" customFormat="1" ht="14.25" customHeight="1" x14ac:dyDescent="0.3"/>
    <row r="730" customFormat="1" ht="14.25" customHeight="1" x14ac:dyDescent="0.3"/>
    <row r="731" customFormat="1" ht="14.25" customHeight="1" x14ac:dyDescent="0.3"/>
    <row r="732" customFormat="1" ht="14.25" customHeight="1" x14ac:dyDescent="0.3"/>
    <row r="733" customFormat="1" ht="14.25" customHeight="1" x14ac:dyDescent="0.3"/>
    <row r="734" customFormat="1" ht="14.25" customHeight="1" x14ac:dyDescent="0.3"/>
    <row r="735" customFormat="1" ht="14.25" customHeight="1" x14ac:dyDescent="0.3"/>
    <row r="736" customFormat="1" ht="14.25" customHeight="1" x14ac:dyDescent="0.3"/>
    <row r="737" customFormat="1" ht="14.25" customHeight="1" x14ac:dyDescent="0.3"/>
    <row r="738" customFormat="1" ht="14.25" customHeight="1" x14ac:dyDescent="0.3"/>
    <row r="739" customFormat="1" ht="14.25" customHeight="1" x14ac:dyDescent="0.3"/>
    <row r="740" customFormat="1" ht="14.25" customHeight="1" x14ac:dyDescent="0.3"/>
    <row r="741" customFormat="1" ht="14.25" customHeight="1" x14ac:dyDescent="0.3"/>
    <row r="742" customFormat="1" ht="14.25" customHeight="1" x14ac:dyDescent="0.3"/>
    <row r="743" customFormat="1" ht="14.25" customHeight="1" x14ac:dyDescent="0.3"/>
    <row r="744" customFormat="1" ht="14.25" customHeight="1" x14ac:dyDescent="0.3"/>
    <row r="745" customFormat="1" ht="14.25" customHeight="1" x14ac:dyDescent="0.3"/>
    <row r="746" customFormat="1" ht="14.25" customHeight="1" x14ac:dyDescent="0.3"/>
    <row r="747" customFormat="1" ht="14.25" customHeight="1" x14ac:dyDescent="0.3"/>
    <row r="748" customFormat="1" ht="14.25" customHeight="1" x14ac:dyDescent="0.3"/>
    <row r="749" customFormat="1" ht="14.25" customHeight="1" x14ac:dyDescent="0.3"/>
    <row r="750" customFormat="1" ht="14.25" customHeight="1" x14ac:dyDescent="0.3"/>
    <row r="751" customFormat="1" ht="14.25" customHeight="1" x14ac:dyDescent="0.3"/>
    <row r="752" customFormat="1" ht="14.25" customHeight="1" x14ac:dyDescent="0.3"/>
    <row r="753" customFormat="1" ht="14.25" customHeight="1" x14ac:dyDescent="0.3"/>
    <row r="754" customFormat="1" ht="14.25" customHeight="1" x14ac:dyDescent="0.3"/>
    <row r="755" customFormat="1" ht="14.25" customHeight="1" x14ac:dyDescent="0.3"/>
    <row r="756" customFormat="1" ht="14.25" customHeight="1" x14ac:dyDescent="0.3"/>
    <row r="757" customFormat="1" ht="14.25" customHeight="1" x14ac:dyDescent="0.3"/>
    <row r="758" customFormat="1" ht="14.25" customHeight="1" x14ac:dyDescent="0.3"/>
    <row r="759" customFormat="1" ht="14.25" customHeight="1" x14ac:dyDescent="0.3"/>
    <row r="760" customFormat="1" ht="14.25" customHeight="1" x14ac:dyDescent="0.3"/>
    <row r="761" customFormat="1" ht="14.25" customHeight="1" x14ac:dyDescent="0.3"/>
    <row r="762" customFormat="1" ht="14.25" customHeight="1" x14ac:dyDescent="0.3"/>
    <row r="763" customFormat="1" ht="14.25" customHeight="1" x14ac:dyDescent="0.3"/>
    <row r="764" customFormat="1" ht="14.25" customHeight="1" x14ac:dyDescent="0.3"/>
    <row r="765" customFormat="1" ht="14.25" customHeight="1" x14ac:dyDescent="0.3"/>
    <row r="766" customFormat="1" ht="14.25" customHeight="1" x14ac:dyDescent="0.3"/>
    <row r="767" customFormat="1" ht="14.25" customHeight="1" x14ac:dyDescent="0.3"/>
    <row r="768" customFormat="1" ht="14.25" customHeight="1" x14ac:dyDescent="0.3"/>
    <row r="769" customFormat="1" ht="14.25" customHeight="1" x14ac:dyDescent="0.3"/>
    <row r="770" customFormat="1" ht="14.25" customHeight="1" x14ac:dyDescent="0.3"/>
    <row r="771" customFormat="1" ht="14.25" customHeight="1" x14ac:dyDescent="0.3"/>
    <row r="772" customFormat="1" ht="14.25" customHeight="1" x14ac:dyDescent="0.3"/>
    <row r="773" customFormat="1" ht="14.25" customHeight="1" x14ac:dyDescent="0.3"/>
    <row r="774" customFormat="1" ht="14.25" customHeight="1" x14ac:dyDescent="0.3"/>
    <row r="775" customFormat="1" ht="14.25" customHeight="1" x14ac:dyDescent="0.3"/>
    <row r="776" customFormat="1" ht="14.25" customHeight="1" x14ac:dyDescent="0.3"/>
    <row r="777" customFormat="1" ht="14.25" customHeight="1" x14ac:dyDescent="0.3"/>
    <row r="778" customFormat="1" ht="14.25" customHeight="1" x14ac:dyDescent="0.3"/>
    <row r="779" customFormat="1" ht="14.25" customHeight="1" x14ac:dyDescent="0.3"/>
    <row r="780" customFormat="1" ht="14.25" customHeight="1" x14ac:dyDescent="0.3"/>
    <row r="781" customFormat="1" ht="14.25" customHeight="1" x14ac:dyDescent="0.3"/>
    <row r="782" customFormat="1" ht="14.25" customHeight="1" x14ac:dyDescent="0.3"/>
    <row r="783" customFormat="1" ht="14.25" customHeight="1" x14ac:dyDescent="0.3"/>
    <row r="784" customFormat="1" ht="14.25" customHeight="1" x14ac:dyDescent="0.3"/>
    <row r="785" customFormat="1" ht="14.25" customHeight="1" x14ac:dyDescent="0.3"/>
    <row r="786" customFormat="1" ht="14.25" customHeight="1" x14ac:dyDescent="0.3"/>
    <row r="787" customFormat="1" ht="14.25" customHeight="1" x14ac:dyDescent="0.3"/>
    <row r="788" customFormat="1" ht="14.25" customHeight="1" x14ac:dyDescent="0.3"/>
    <row r="789" customFormat="1" ht="14.25" customHeight="1" x14ac:dyDescent="0.3"/>
    <row r="790" customFormat="1" ht="14.25" customHeight="1" x14ac:dyDescent="0.3"/>
    <row r="791" customFormat="1" ht="14.25" customHeight="1" x14ac:dyDescent="0.3"/>
    <row r="792" customFormat="1" ht="14.25" customHeight="1" x14ac:dyDescent="0.3"/>
    <row r="793" customFormat="1" ht="14.25" customHeight="1" x14ac:dyDescent="0.3"/>
    <row r="794" customFormat="1" ht="14.25" customHeight="1" x14ac:dyDescent="0.3"/>
    <row r="795" customFormat="1" ht="14.25" customHeight="1" x14ac:dyDescent="0.3"/>
    <row r="796" customFormat="1" ht="14.25" customHeight="1" x14ac:dyDescent="0.3"/>
    <row r="797" customFormat="1" ht="14.25" customHeight="1" x14ac:dyDescent="0.3"/>
    <row r="798" customFormat="1" ht="14.25" customHeight="1" x14ac:dyDescent="0.3"/>
    <row r="799" customFormat="1" ht="14.25" customHeight="1" x14ac:dyDescent="0.3"/>
    <row r="800" customFormat="1" ht="14.25" customHeight="1" x14ac:dyDescent="0.3"/>
    <row r="801" customFormat="1" ht="14.25" customHeight="1" x14ac:dyDescent="0.3"/>
    <row r="802" customFormat="1" ht="14.25" customHeight="1" x14ac:dyDescent="0.3"/>
    <row r="803" customFormat="1" ht="14.25" customHeight="1" x14ac:dyDescent="0.3"/>
    <row r="804" customFormat="1" ht="14.25" customHeight="1" x14ac:dyDescent="0.3"/>
    <row r="805" customFormat="1" ht="14.25" customHeight="1" x14ac:dyDescent="0.3"/>
    <row r="806" customFormat="1" ht="14.25" customHeight="1" x14ac:dyDescent="0.3"/>
    <row r="807" customFormat="1" ht="14.25" customHeight="1" x14ac:dyDescent="0.3"/>
    <row r="808" customFormat="1" ht="14.25" customHeight="1" x14ac:dyDescent="0.3"/>
    <row r="809" customFormat="1" ht="14.25" customHeight="1" x14ac:dyDescent="0.3"/>
    <row r="810" customFormat="1" ht="14.25" customHeight="1" x14ac:dyDescent="0.3"/>
    <row r="811" customFormat="1" ht="14.25" customHeight="1" x14ac:dyDescent="0.3"/>
    <row r="812" customFormat="1" ht="14.25" customHeight="1" x14ac:dyDescent="0.3"/>
    <row r="813" customFormat="1" ht="14.25" customHeight="1" x14ac:dyDescent="0.3"/>
    <row r="814" customFormat="1" ht="14.25" customHeight="1" x14ac:dyDescent="0.3"/>
    <row r="815" customFormat="1" ht="14.25" customHeight="1" x14ac:dyDescent="0.3"/>
    <row r="816" customFormat="1" ht="14.25" customHeight="1" x14ac:dyDescent="0.3"/>
    <row r="817" customFormat="1" ht="14.25" customHeight="1" x14ac:dyDescent="0.3"/>
    <row r="818" customFormat="1" ht="14.25" customHeight="1" x14ac:dyDescent="0.3"/>
    <row r="819" customFormat="1" ht="14.25" customHeight="1" x14ac:dyDescent="0.3"/>
    <row r="820" customFormat="1" ht="14.25" customHeight="1" x14ac:dyDescent="0.3"/>
    <row r="821" customFormat="1" ht="14.25" customHeight="1" x14ac:dyDescent="0.3"/>
    <row r="822" customFormat="1" ht="14.25" customHeight="1" x14ac:dyDescent="0.3"/>
    <row r="823" customFormat="1" ht="14.25" customHeight="1" x14ac:dyDescent="0.3"/>
    <row r="824" customFormat="1" ht="14.25" customHeight="1" x14ac:dyDescent="0.3"/>
    <row r="825" customFormat="1" ht="14.25" customHeight="1" x14ac:dyDescent="0.3"/>
    <row r="826" customFormat="1" ht="14.25" customHeight="1" x14ac:dyDescent="0.3"/>
    <row r="827" customFormat="1" ht="14.25" customHeight="1" x14ac:dyDescent="0.3"/>
    <row r="828" customFormat="1" ht="14.25" customHeight="1" x14ac:dyDescent="0.3"/>
    <row r="829" customFormat="1" ht="14.25" customHeight="1" x14ac:dyDescent="0.3"/>
    <row r="830" customFormat="1" ht="14.25" customHeight="1" x14ac:dyDescent="0.3"/>
    <row r="831" customFormat="1" ht="14.25" customHeight="1" x14ac:dyDescent="0.3"/>
    <row r="832" customFormat="1" ht="14.25" customHeight="1" x14ac:dyDescent="0.3"/>
    <row r="833" customFormat="1" ht="14.25" customHeight="1" x14ac:dyDescent="0.3"/>
    <row r="834" customFormat="1" ht="14.25" customHeight="1" x14ac:dyDescent="0.3"/>
    <row r="835" customFormat="1" ht="14.25" customHeight="1" x14ac:dyDescent="0.3"/>
    <row r="836" customFormat="1" ht="14.25" customHeight="1" x14ac:dyDescent="0.3"/>
    <row r="837" customFormat="1" ht="14.25" customHeight="1" x14ac:dyDescent="0.3"/>
    <row r="838" customFormat="1" ht="14.25" customHeight="1" x14ac:dyDescent="0.3"/>
    <row r="839" customFormat="1" ht="14.25" customHeight="1" x14ac:dyDescent="0.3"/>
    <row r="840" customFormat="1" ht="14.25" customHeight="1" x14ac:dyDescent="0.3"/>
    <row r="841" customFormat="1" ht="14.25" customHeight="1" x14ac:dyDescent="0.3"/>
    <row r="842" customFormat="1" ht="14.25" customHeight="1" x14ac:dyDescent="0.3"/>
    <row r="843" customFormat="1" ht="14.25" customHeight="1" x14ac:dyDescent="0.3"/>
    <row r="844" customFormat="1" ht="14.25" customHeight="1" x14ac:dyDescent="0.3"/>
    <row r="845" customFormat="1" ht="14.25" customHeight="1" x14ac:dyDescent="0.3"/>
    <row r="846" customFormat="1" ht="14.25" customHeight="1" x14ac:dyDescent="0.3"/>
    <row r="847" customFormat="1" ht="14.25" customHeight="1" x14ac:dyDescent="0.3"/>
    <row r="848" customFormat="1" ht="14.25" customHeight="1" x14ac:dyDescent="0.3"/>
    <row r="849" customFormat="1" ht="14.25" customHeight="1" x14ac:dyDescent="0.3"/>
    <row r="850" customFormat="1" ht="14.25" customHeight="1" x14ac:dyDescent="0.3"/>
    <row r="851" customFormat="1" ht="14.25" customHeight="1" x14ac:dyDescent="0.3"/>
    <row r="852" customFormat="1" ht="14.25" customHeight="1" x14ac:dyDescent="0.3"/>
    <row r="853" customFormat="1" ht="14.25" customHeight="1" x14ac:dyDescent="0.3"/>
    <row r="854" customFormat="1" ht="14.25" customHeight="1" x14ac:dyDescent="0.3"/>
    <row r="855" customFormat="1" ht="14.25" customHeight="1" x14ac:dyDescent="0.3"/>
    <row r="856" customFormat="1" ht="14.25" customHeight="1" x14ac:dyDescent="0.3"/>
    <row r="857" customFormat="1" ht="14.25" customHeight="1" x14ac:dyDescent="0.3"/>
    <row r="858" customFormat="1" ht="14.25" customHeight="1" x14ac:dyDescent="0.3"/>
    <row r="859" customFormat="1" ht="14.25" customHeight="1" x14ac:dyDescent="0.3"/>
    <row r="860" customFormat="1" ht="14.25" customHeight="1" x14ac:dyDescent="0.3"/>
    <row r="861" customFormat="1" ht="14.25" customHeight="1" x14ac:dyDescent="0.3"/>
    <row r="862" customFormat="1" ht="14.25" customHeight="1" x14ac:dyDescent="0.3"/>
    <row r="863" customFormat="1" ht="14.25" customHeight="1" x14ac:dyDescent="0.3"/>
    <row r="864" customFormat="1" ht="14.25" customHeight="1" x14ac:dyDescent="0.3"/>
    <row r="865" customFormat="1" ht="14.25" customHeight="1" x14ac:dyDescent="0.3"/>
    <row r="866" customFormat="1" ht="14.25" customHeight="1" x14ac:dyDescent="0.3"/>
    <row r="867" customFormat="1" ht="14.25" customHeight="1" x14ac:dyDescent="0.3"/>
    <row r="868" customFormat="1" ht="14.25" customHeight="1" x14ac:dyDescent="0.3"/>
    <row r="869" customFormat="1" ht="14.25" customHeight="1" x14ac:dyDescent="0.3"/>
    <row r="870" customFormat="1" ht="14.25" customHeight="1" x14ac:dyDescent="0.3"/>
    <row r="871" customFormat="1" ht="14.25" customHeight="1" x14ac:dyDescent="0.3"/>
    <row r="872" customFormat="1" ht="14.25" customHeight="1" x14ac:dyDescent="0.3"/>
    <row r="873" customFormat="1" ht="14.25" customHeight="1" x14ac:dyDescent="0.3"/>
    <row r="874" customFormat="1" ht="14.25" customHeight="1" x14ac:dyDescent="0.3"/>
    <row r="875" customFormat="1" ht="14.25" customHeight="1" x14ac:dyDescent="0.3"/>
    <row r="876" customFormat="1" ht="14.25" customHeight="1" x14ac:dyDescent="0.3"/>
    <row r="877" customFormat="1" ht="14.25" customHeight="1" x14ac:dyDescent="0.3"/>
    <row r="878" customFormat="1" ht="14.25" customHeight="1" x14ac:dyDescent="0.3"/>
    <row r="879" customFormat="1" ht="14.25" customHeight="1" x14ac:dyDescent="0.3"/>
    <row r="880" customFormat="1" ht="14.25" customHeight="1" x14ac:dyDescent="0.3"/>
    <row r="881" customFormat="1" ht="14.25" customHeight="1" x14ac:dyDescent="0.3"/>
    <row r="882" customFormat="1" ht="14.25" customHeight="1" x14ac:dyDescent="0.3"/>
    <row r="883" customFormat="1" ht="14.25" customHeight="1" x14ac:dyDescent="0.3"/>
    <row r="884" customFormat="1" ht="14.25" customHeight="1" x14ac:dyDescent="0.3"/>
    <row r="885" customFormat="1" ht="14.25" customHeight="1" x14ac:dyDescent="0.3"/>
    <row r="886" customFormat="1" ht="14.25" customHeight="1" x14ac:dyDescent="0.3"/>
    <row r="887" customFormat="1" ht="14.25" customHeight="1" x14ac:dyDescent="0.3"/>
    <row r="888" customFormat="1" ht="14.25" customHeight="1" x14ac:dyDescent="0.3"/>
    <row r="889" customFormat="1" ht="14.25" customHeight="1" x14ac:dyDescent="0.3"/>
    <row r="890" customFormat="1" ht="14.25" customHeight="1" x14ac:dyDescent="0.3"/>
    <row r="891" customFormat="1" ht="14.25" customHeight="1" x14ac:dyDescent="0.3"/>
    <row r="892" customFormat="1" ht="14.25" customHeight="1" x14ac:dyDescent="0.3"/>
    <row r="893" customFormat="1" ht="14.25" customHeight="1" x14ac:dyDescent="0.3"/>
    <row r="894" customFormat="1" ht="14.25" customHeight="1" x14ac:dyDescent="0.3"/>
    <row r="895" customFormat="1" ht="14.25" customHeight="1" x14ac:dyDescent="0.3"/>
    <row r="896" customFormat="1" ht="14.25" customHeight="1" x14ac:dyDescent="0.3"/>
    <row r="897" customFormat="1" ht="14.25" customHeight="1" x14ac:dyDescent="0.3"/>
    <row r="898" customFormat="1" ht="14.25" customHeight="1" x14ac:dyDescent="0.3"/>
    <row r="899" customFormat="1" ht="14.25" customHeight="1" x14ac:dyDescent="0.3"/>
    <row r="900" customFormat="1" ht="14.25" customHeight="1" x14ac:dyDescent="0.3"/>
    <row r="901" customFormat="1" ht="14.25" customHeight="1" x14ac:dyDescent="0.3"/>
    <row r="902" customFormat="1" ht="14.25" customHeight="1" x14ac:dyDescent="0.3"/>
    <row r="903" customFormat="1" ht="14.25" customHeight="1" x14ac:dyDescent="0.3"/>
    <row r="904" customFormat="1" ht="14.25" customHeight="1" x14ac:dyDescent="0.3"/>
    <row r="905" customFormat="1" ht="14.25" customHeight="1" x14ac:dyDescent="0.3"/>
    <row r="906" customFormat="1" ht="14.25" customHeight="1" x14ac:dyDescent="0.3"/>
    <row r="907" customFormat="1" ht="14.25" customHeight="1" x14ac:dyDescent="0.3"/>
    <row r="908" customFormat="1" ht="14.25" customHeight="1" x14ac:dyDescent="0.3"/>
    <row r="909" customFormat="1" ht="14.25" customHeight="1" x14ac:dyDescent="0.3"/>
    <row r="910" customFormat="1" ht="14.25" customHeight="1" x14ac:dyDescent="0.3"/>
    <row r="911" customFormat="1" ht="14.25" customHeight="1" x14ac:dyDescent="0.3"/>
    <row r="912" customFormat="1" ht="14.25" customHeight="1" x14ac:dyDescent="0.3"/>
    <row r="913" customFormat="1" ht="14.25" customHeight="1" x14ac:dyDescent="0.3"/>
    <row r="914" customFormat="1" ht="14.25" customHeight="1" x14ac:dyDescent="0.3"/>
    <row r="915" customFormat="1" ht="14.25" customHeight="1" x14ac:dyDescent="0.3"/>
    <row r="916" customFormat="1" ht="14.25" customHeight="1" x14ac:dyDescent="0.3"/>
    <row r="917" customFormat="1" ht="14.25" customHeight="1" x14ac:dyDescent="0.3"/>
    <row r="918" customFormat="1" ht="14.25" customHeight="1" x14ac:dyDescent="0.3"/>
    <row r="919" customFormat="1" ht="14.25" customHeight="1" x14ac:dyDescent="0.3"/>
    <row r="920" customFormat="1" ht="14.25" customHeight="1" x14ac:dyDescent="0.3"/>
    <row r="921" customFormat="1" ht="14.25" customHeight="1" x14ac:dyDescent="0.3"/>
    <row r="922" customFormat="1" ht="14.25" customHeight="1" x14ac:dyDescent="0.3"/>
    <row r="923" customFormat="1" ht="14.25" customHeight="1" x14ac:dyDescent="0.3"/>
    <row r="924" customFormat="1" ht="14.25" customHeight="1" x14ac:dyDescent="0.3"/>
    <row r="925" customFormat="1" ht="14.25" customHeight="1" x14ac:dyDescent="0.3"/>
    <row r="926" customFormat="1" ht="14.25" customHeight="1" x14ac:dyDescent="0.3"/>
    <row r="927" customFormat="1" ht="14.25" customHeight="1" x14ac:dyDescent="0.3"/>
    <row r="928" customFormat="1" ht="14.25" customHeight="1" x14ac:dyDescent="0.3"/>
    <row r="929" customFormat="1" ht="14.25" customHeight="1" x14ac:dyDescent="0.3"/>
    <row r="930" customFormat="1" ht="14.25" customHeight="1" x14ac:dyDescent="0.3"/>
    <row r="931" customFormat="1" ht="14.25" customHeight="1" x14ac:dyDescent="0.3"/>
    <row r="932" customFormat="1" ht="14.25" customHeight="1" x14ac:dyDescent="0.3"/>
    <row r="933" customFormat="1" ht="14.25" customHeight="1" x14ac:dyDescent="0.3"/>
    <row r="934" customFormat="1" ht="14.25" customHeight="1" x14ac:dyDescent="0.3"/>
    <row r="935" customFormat="1" ht="14.25" customHeight="1" x14ac:dyDescent="0.3"/>
    <row r="936" customFormat="1" ht="14.25" customHeight="1" x14ac:dyDescent="0.3"/>
    <row r="937" customFormat="1" ht="14.25" customHeight="1" x14ac:dyDescent="0.3"/>
    <row r="938" customFormat="1" ht="14.25" customHeight="1" x14ac:dyDescent="0.3"/>
    <row r="939" customFormat="1" ht="14.25" customHeight="1" x14ac:dyDescent="0.3"/>
    <row r="940" customFormat="1" ht="14.25" customHeight="1" x14ac:dyDescent="0.3"/>
    <row r="941" customFormat="1" ht="14.25" customHeight="1" x14ac:dyDescent="0.3"/>
    <row r="942" customFormat="1" ht="14.25" customHeight="1" x14ac:dyDescent="0.3"/>
    <row r="943" customFormat="1" ht="14.25" customHeight="1" x14ac:dyDescent="0.3"/>
    <row r="944" customFormat="1" ht="14.25" customHeight="1" x14ac:dyDescent="0.3"/>
    <row r="945" customFormat="1" ht="14.25" customHeight="1" x14ac:dyDescent="0.3"/>
    <row r="946" customFormat="1" ht="14.25" customHeight="1" x14ac:dyDescent="0.3"/>
    <row r="947" customFormat="1" ht="14.25" customHeight="1" x14ac:dyDescent="0.3"/>
    <row r="948" customFormat="1" ht="14.25" customHeight="1" x14ac:dyDescent="0.3"/>
    <row r="949" customFormat="1" ht="14.25" customHeight="1" x14ac:dyDescent="0.3"/>
    <row r="950" customFormat="1" ht="14.25" customHeight="1" x14ac:dyDescent="0.3"/>
    <row r="951" customFormat="1" ht="14.25" customHeight="1" x14ac:dyDescent="0.3"/>
    <row r="952" customFormat="1" ht="14.25" customHeight="1" x14ac:dyDescent="0.3"/>
    <row r="953" customFormat="1" ht="14.25" customHeight="1" x14ac:dyDescent="0.3"/>
    <row r="954" customFormat="1" ht="14.25" customHeight="1" x14ac:dyDescent="0.3"/>
    <row r="955" customFormat="1" ht="14.25" customHeight="1" x14ac:dyDescent="0.3"/>
    <row r="956" customFormat="1" ht="14.25" customHeight="1" x14ac:dyDescent="0.3"/>
    <row r="957" customFormat="1" ht="14.25" customHeight="1" x14ac:dyDescent="0.3"/>
    <row r="958" customFormat="1" ht="14.25" customHeight="1" x14ac:dyDescent="0.3"/>
    <row r="959" customFormat="1" ht="14.25" customHeight="1" x14ac:dyDescent="0.3"/>
    <row r="960" customFormat="1" ht="14.25" customHeight="1" x14ac:dyDescent="0.3"/>
    <row r="961" customFormat="1" ht="14.25" customHeight="1" x14ac:dyDescent="0.3"/>
    <row r="962" customFormat="1" ht="14.25" customHeight="1" x14ac:dyDescent="0.3"/>
    <row r="963" customFormat="1" ht="14.25" customHeight="1" x14ac:dyDescent="0.3"/>
    <row r="964" customFormat="1" ht="14.25" customHeight="1" x14ac:dyDescent="0.3"/>
    <row r="965" customFormat="1" ht="14.25" customHeight="1" x14ac:dyDescent="0.3"/>
    <row r="966" customFormat="1" ht="14.25" customHeight="1" x14ac:dyDescent="0.3"/>
    <row r="967" customFormat="1" ht="14.25" customHeight="1" x14ac:dyDescent="0.3"/>
    <row r="968" customFormat="1" ht="14.25" customHeight="1" x14ac:dyDescent="0.3"/>
    <row r="969" customFormat="1" ht="14.25" customHeight="1" x14ac:dyDescent="0.3"/>
    <row r="970" customFormat="1" ht="14.25" customHeight="1" x14ac:dyDescent="0.3"/>
    <row r="971" customFormat="1" ht="14.25" customHeight="1" x14ac:dyDescent="0.3"/>
    <row r="972" customFormat="1" ht="14.25" customHeight="1" x14ac:dyDescent="0.3"/>
    <row r="973" customFormat="1" ht="14.25" customHeight="1" x14ac:dyDescent="0.3"/>
    <row r="974" customFormat="1" ht="14.25" customHeight="1" x14ac:dyDescent="0.3"/>
    <row r="975" customFormat="1" ht="14.25" customHeight="1" x14ac:dyDescent="0.3"/>
    <row r="976" customFormat="1" ht="14.25" customHeight="1" x14ac:dyDescent="0.3"/>
    <row r="977" customFormat="1" ht="14.25" customHeight="1" x14ac:dyDescent="0.3"/>
    <row r="978" customFormat="1" ht="14.25" customHeight="1" x14ac:dyDescent="0.3"/>
    <row r="979" customFormat="1" ht="14.25" customHeight="1" x14ac:dyDescent="0.3"/>
    <row r="980" customFormat="1" ht="14.25" customHeight="1" x14ac:dyDescent="0.3"/>
    <row r="981" customFormat="1" ht="14.25" customHeight="1" x14ac:dyDescent="0.3"/>
    <row r="982" customFormat="1" ht="14.25" customHeight="1" x14ac:dyDescent="0.3"/>
    <row r="983" customFormat="1" ht="14.25" customHeight="1" x14ac:dyDescent="0.3"/>
    <row r="984" customFormat="1" ht="14.25" customHeight="1" x14ac:dyDescent="0.3"/>
    <row r="985" customFormat="1" ht="14.25" customHeight="1" x14ac:dyDescent="0.3"/>
    <row r="986" customFormat="1" ht="14.25" customHeight="1" x14ac:dyDescent="0.3"/>
    <row r="987" customFormat="1" ht="14.25" customHeight="1" x14ac:dyDescent="0.3"/>
    <row r="988" customFormat="1" ht="14.25" customHeight="1" x14ac:dyDescent="0.3"/>
    <row r="989" customFormat="1" ht="14.25" customHeight="1" x14ac:dyDescent="0.3"/>
    <row r="990" customFormat="1" ht="14.25" customHeight="1" x14ac:dyDescent="0.3"/>
    <row r="991" customFormat="1" ht="14.25" customHeight="1" x14ac:dyDescent="0.3"/>
    <row r="992" customFormat="1" ht="14.25" customHeight="1" x14ac:dyDescent="0.3"/>
    <row r="993" customFormat="1" ht="14.25" customHeight="1" x14ac:dyDescent="0.3"/>
    <row r="994" customFormat="1" ht="14.25" customHeight="1" x14ac:dyDescent="0.3"/>
    <row r="995" customFormat="1" ht="14.25" customHeight="1" x14ac:dyDescent="0.3"/>
    <row r="996" customFormat="1" ht="14.25" customHeight="1" x14ac:dyDescent="0.3"/>
    <row r="997" customFormat="1" ht="14.25" customHeight="1" x14ac:dyDescent="0.3"/>
    <row r="998" customFormat="1" ht="14.25" customHeight="1" x14ac:dyDescent="0.3"/>
    <row r="999" customFormat="1" ht="14.25" customHeight="1" x14ac:dyDescent="0.3"/>
    <row r="1000" customFormat="1" ht="14.25" customHeight="1" x14ac:dyDescent="0.3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E54BC-E8E6-47AE-BB1D-EEBFD52123B0}">
  <sheetPr codeName="Sheet13"/>
  <dimension ref="C1:Q1000"/>
  <sheetViews>
    <sheetView workbookViewId="0">
      <selection activeCell="R25" sqref="R25"/>
    </sheetView>
  </sheetViews>
  <sheetFormatPr defaultColWidth="14.44140625" defaultRowHeight="15" customHeight="1" x14ac:dyDescent="0.3"/>
  <cols>
    <col min="1" max="3" width="8.6640625" customWidth="1"/>
    <col min="4" max="4" width="11.6640625" customWidth="1"/>
    <col min="5" max="5" width="12.6640625" bestFit="1" customWidth="1"/>
    <col min="6" max="25" width="8.6640625" customWidth="1"/>
  </cols>
  <sheetData>
    <row r="1" spans="3:12" ht="14.25" customHeight="1" x14ac:dyDescent="0.3"/>
    <row r="2" spans="3:12" ht="14.25" customHeight="1" x14ac:dyDescent="0.3">
      <c r="C2" s="2" t="s">
        <v>15</v>
      </c>
    </row>
    <row r="3" spans="3:12" ht="14.25" customHeight="1" x14ac:dyDescent="0.3">
      <c r="C3" s="2" t="s">
        <v>13</v>
      </c>
    </row>
    <row r="4" spans="3:12" ht="14.25" customHeight="1" x14ac:dyDescent="0.3"/>
    <row r="5" spans="3:12" ht="14.25" customHeight="1" x14ac:dyDescent="0.3">
      <c r="C5" s="11" t="s">
        <v>4</v>
      </c>
      <c r="D5" s="12" t="s">
        <v>14</v>
      </c>
      <c r="E5" s="12" t="s">
        <v>16</v>
      </c>
      <c r="F5" s="13" t="s">
        <v>17</v>
      </c>
    </row>
    <row r="6" spans="3:12" ht="14.25" customHeight="1" x14ac:dyDescent="0.3">
      <c r="C6" s="27">
        <v>2005</v>
      </c>
      <c r="D6" s="22">
        <v>528</v>
      </c>
      <c r="E6" s="14"/>
      <c r="F6" s="1"/>
      <c r="I6" s="25"/>
      <c r="L6" s="24"/>
    </row>
    <row r="7" spans="3:12" ht="14.25" customHeight="1" x14ac:dyDescent="0.3">
      <c r="C7" s="27">
        <v>2006</v>
      </c>
      <c r="D7" s="22">
        <v>4550</v>
      </c>
      <c r="E7" s="15">
        <f t="shared" ref="E7:E23" si="0">SUM($D$6:D7)</f>
        <v>5078</v>
      </c>
      <c r="F7" s="14">
        <f t="shared" ref="F7:F23" si="1">E7/$E$23</f>
        <v>6.5615712624370076E-2</v>
      </c>
      <c r="I7" s="26"/>
      <c r="J7" s="25"/>
      <c r="L7" s="24"/>
    </row>
    <row r="8" spans="3:12" ht="14.25" customHeight="1" x14ac:dyDescent="0.3">
      <c r="C8" s="27">
        <v>2007</v>
      </c>
      <c r="D8" s="22">
        <v>8189</v>
      </c>
      <c r="E8" s="15">
        <f t="shared" si="0"/>
        <v>13267</v>
      </c>
      <c r="F8" s="14">
        <f t="shared" si="1"/>
        <v>0.17143041736658482</v>
      </c>
      <c r="I8" s="26"/>
      <c r="J8" s="25"/>
      <c r="L8" s="24"/>
    </row>
    <row r="9" spans="3:12" ht="14.25" customHeight="1" x14ac:dyDescent="0.3">
      <c r="C9" s="27">
        <v>2008</v>
      </c>
      <c r="D9" s="22">
        <v>1730</v>
      </c>
      <c r="E9" s="15">
        <f t="shared" si="0"/>
        <v>14997</v>
      </c>
      <c r="F9" s="14">
        <f t="shared" si="1"/>
        <v>0.19378472670887711</v>
      </c>
      <c r="I9" s="26"/>
      <c r="J9" s="25"/>
      <c r="L9" s="24"/>
    </row>
    <row r="10" spans="3:12" ht="14.25" customHeight="1" x14ac:dyDescent="0.3">
      <c r="C10" s="27">
        <v>2009</v>
      </c>
      <c r="D10" s="22">
        <v>5262</v>
      </c>
      <c r="E10" s="15">
        <f t="shared" si="0"/>
        <v>20259</v>
      </c>
      <c r="F10" s="14">
        <f t="shared" si="1"/>
        <v>0.26177800749450836</v>
      </c>
      <c r="I10" s="26"/>
      <c r="J10" s="25"/>
      <c r="L10" s="24"/>
    </row>
    <row r="11" spans="3:12" ht="14.25" customHeight="1" x14ac:dyDescent="0.3">
      <c r="C11" s="27">
        <v>2010</v>
      </c>
      <c r="D11" s="22">
        <v>2172</v>
      </c>
      <c r="E11" s="15">
        <f t="shared" si="0"/>
        <v>22431</v>
      </c>
      <c r="F11" s="14">
        <f t="shared" si="1"/>
        <v>0.28984364905026488</v>
      </c>
      <c r="I11" s="26"/>
      <c r="J11" s="25"/>
      <c r="L11" s="24"/>
    </row>
    <row r="12" spans="3:12" ht="14.25" customHeight="1" x14ac:dyDescent="0.3">
      <c r="C12" s="27">
        <v>2011</v>
      </c>
      <c r="D12" s="22">
        <v>4384</v>
      </c>
      <c r="E12" s="15">
        <f t="shared" si="0"/>
        <v>26815</v>
      </c>
      <c r="F12" s="14">
        <f t="shared" si="1"/>
        <v>0.34649179480553044</v>
      </c>
      <c r="I12" s="26"/>
      <c r="J12" s="25"/>
      <c r="L12" s="24"/>
    </row>
    <row r="13" spans="3:12" ht="14.25" customHeight="1" x14ac:dyDescent="0.3">
      <c r="C13" s="27">
        <v>2012</v>
      </c>
      <c r="D13" s="22">
        <v>8709</v>
      </c>
      <c r="E13" s="15">
        <f t="shared" si="0"/>
        <v>35524</v>
      </c>
      <c r="F13" s="14">
        <f t="shared" si="1"/>
        <v>0.45902571391652669</v>
      </c>
      <c r="I13" s="26"/>
      <c r="J13" s="25"/>
      <c r="L13" s="24"/>
    </row>
    <row r="14" spans="3:12" ht="14.25" customHeight="1" x14ac:dyDescent="0.3">
      <c r="C14" s="27">
        <v>2013</v>
      </c>
      <c r="D14" s="22">
        <v>3618</v>
      </c>
      <c r="E14" s="15">
        <f t="shared" si="0"/>
        <v>39142</v>
      </c>
      <c r="F14" s="14">
        <f t="shared" si="1"/>
        <v>0.50577594004393334</v>
      </c>
      <c r="I14" s="26"/>
      <c r="J14" s="25"/>
      <c r="L14" s="24"/>
    </row>
    <row r="15" spans="3:12" ht="14.25" customHeight="1" x14ac:dyDescent="0.3">
      <c r="C15" s="27">
        <v>2014</v>
      </c>
      <c r="D15" s="22">
        <v>6372</v>
      </c>
      <c r="E15" s="15">
        <f t="shared" si="0"/>
        <v>45514</v>
      </c>
      <c r="F15" s="14">
        <f t="shared" si="1"/>
        <v>0.58811215919369431</v>
      </c>
      <c r="I15" s="26"/>
      <c r="J15" s="25"/>
      <c r="L15" s="24"/>
    </row>
    <row r="16" spans="3:12" ht="14.25" customHeight="1" x14ac:dyDescent="0.3">
      <c r="C16" s="27">
        <v>2015</v>
      </c>
      <c r="D16" s="22">
        <v>3456</v>
      </c>
      <c r="E16" s="15">
        <f t="shared" si="0"/>
        <v>48970</v>
      </c>
      <c r="F16" s="14">
        <f t="shared" si="1"/>
        <v>0.6327690916139036</v>
      </c>
      <c r="I16" s="26"/>
      <c r="J16" s="25"/>
      <c r="L16" s="24"/>
    </row>
    <row r="17" spans="3:17" ht="14.25" customHeight="1" x14ac:dyDescent="0.3">
      <c r="C17" s="27">
        <v>2016</v>
      </c>
      <c r="D17" s="22">
        <v>7478</v>
      </c>
      <c r="E17" s="15">
        <f t="shared" si="0"/>
        <v>56448</v>
      </c>
      <c r="F17" s="14">
        <f t="shared" si="1"/>
        <v>0.72939656286341903</v>
      </c>
      <c r="I17" s="26"/>
      <c r="J17" s="25"/>
      <c r="L17" s="24"/>
    </row>
    <row r="18" spans="3:17" ht="14.25" customHeight="1" x14ac:dyDescent="0.3">
      <c r="C18" s="27">
        <v>2017</v>
      </c>
      <c r="D18" s="22">
        <v>4649</v>
      </c>
      <c r="E18" s="15">
        <f t="shared" si="0"/>
        <v>61097</v>
      </c>
      <c r="F18" s="14">
        <f t="shared" si="1"/>
        <v>0.78946892363354437</v>
      </c>
      <c r="I18" s="26"/>
      <c r="J18" s="25"/>
      <c r="L18" s="24"/>
    </row>
    <row r="19" spans="3:17" ht="14.25" customHeight="1" x14ac:dyDescent="0.3">
      <c r="C19" s="27">
        <v>2018</v>
      </c>
      <c r="D19" s="22">
        <v>5831</v>
      </c>
      <c r="E19" s="15">
        <f t="shared" si="0"/>
        <v>66928</v>
      </c>
      <c r="F19" s="14">
        <f t="shared" si="1"/>
        <v>0.86481457552655383</v>
      </c>
      <c r="I19" s="26"/>
      <c r="J19" s="25"/>
      <c r="L19" s="24"/>
    </row>
    <row r="20" spans="3:17" ht="14.25" customHeight="1" x14ac:dyDescent="0.3">
      <c r="C20" s="27">
        <v>2019</v>
      </c>
      <c r="D20" s="22">
        <v>1599</v>
      </c>
      <c r="E20" s="15">
        <f t="shared" si="0"/>
        <v>68527</v>
      </c>
      <c r="F20" s="14">
        <f t="shared" si="1"/>
        <v>0.88547615971055693</v>
      </c>
      <c r="I20" s="26"/>
      <c r="J20" s="25"/>
      <c r="L20" s="24"/>
    </row>
    <row r="21" spans="3:17" ht="14.25" customHeight="1" x14ac:dyDescent="0.3">
      <c r="C21" s="27">
        <v>2020</v>
      </c>
      <c r="D21" s="22">
        <v>3695</v>
      </c>
      <c r="E21" s="15">
        <f t="shared" si="0"/>
        <v>72222</v>
      </c>
      <c r="F21" s="14">
        <f t="shared" si="1"/>
        <v>0.93322134642718702</v>
      </c>
      <c r="I21" s="26"/>
      <c r="J21" s="25"/>
      <c r="L21" s="24"/>
    </row>
    <row r="22" spans="3:17" ht="14.25" customHeight="1" x14ac:dyDescent="0.3">
      <c r="C22" s="27">
        <v>2021</v>
      </c>
      <c r="D22" s="22">
        <v>1678</v>
      </c>
      <c r="E22" s="15">
        <f t="shared" si="0"/>
        <v>73900</v>
      </c>
      <c r="F22" s="14">
        <f t="shared" si="1"/>
        <v>0.95490373433260112</v>
      </c>
      <c r="I22" s="26"/>
      <c r="J22" s="25"/>
      <c r="L22" s="24"/>
      <c r="Q22" t="s">
        <v>46</v>
      </c>
    </row>
    <row r="23" spans="3:17" ht="14.25" customHeight="1" x14ac:dyDescent="0.3">
      <c r="C23" s="27">
        <v>2022</v>
      </c>
      <c r="D23" s="23">
        <v>3490</v>
      </c>
      <c r="E23" s="15">
        <f t="shared" si="0"/>
        <v>77390</v>
      </c>
      <c r="F23" s="14">
        <f t="shared" si="1"/>
        <v>1</v>
      </c>
      <c r="I23" s="26"/>
      <c r="J23" s="25"/>
      <c r="L23" s="24"/>
    </row>
    <row r="24" spans="3:17" ht="14.25" customHeight="1" x14ac:dyDescent="0.3"/>
    <row r="25" spans="3:17" ht="14.25" customHeight="1" x14ac:dyDescent="0.3">
      <c r="C25" s="3" t="s">
        <v>18</v>
      </c>
      <c r="D25" s="16">
        <f>SUM(D6:D23)</f>
        <v>77390</v>
      </c>
    </row>
    <row r="26" spans="3:17" ht="14.25" customHeight="1" x14ac:dyDescent="0.3"/>
    <row r="27" spans="3:17" ht="14.25" customHeight="1" x14ac:dyDescent="0.3"/>
    <row r="28" spans="3:17" ht="14.25" customHeight="1" x14ac:dyDescent="0.3"/>
    <row r="29" spans="3:17" ht="14.25" customHeight="1" x14ac:dyDescent="0.3"/>
    <row r="30" spans="3:17" ht="14.25" customHeight="1" x14ac:dyDescent="0.3"/>
    <row r="31" spans="3:17" ht="14.25" customHeight="1" x14ac:dyDescent="0.3"/>
    <row r="32" spans="3:17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6EAA7-334F-4291-AEEF-ADCD0078BE07}">
  <sheetPr codeName="Sheet14"/>
  <dimension ref="C1:F1000"/>
  <sheetViews>
    <sheetView workbookViewId="0">
      <selection activeCell="K3" sqref="K3"/>
    </sheetView>
  </sheetViews>
  <sheetFormatPr defaultColWidth="14.44140625" defaultRowHeight="15" customHeight="1" x14ac:dyDescent="0.3"/>
  <cols>
    <col min="1" max="2" width="8.6640625" customWidth="1"/>
    <col min="3" max="3" width="11" customWidth="1"/>
    <col min="4" max="26" width="8.6640625" customWidth="1"/>
  </cols>
  <sheetData>
    <row r="1" spans="3:6" ht="14.25" customHeight="1" x14ac:dyDescent="0.3"/>
    <row r="2" spans="3:6" ht="14.25" customHeight="1" x14ac:dyDescent="0.3">
      <c r="C2" s="2" t="s">
        <v>19</v>
      </c>
    </row>
    <row r="3" spans="3:6" ht="14.25" customHeight="1" x14ac:dyDescent="0.3">
      <c r="C3" s="2" t="s">
        <v>13</v>
      </c>
    </row>
    <row r="4" spans="3:6" ht="14.25" customHeight="1" x14ac:dyDescent="0.3">
      <c r="C4" s="2" t="s">
        <v>20</v>
      </c>
      <c r="D4" s="3" t="s">
        <v>21</v>
      </c>
    </row>
    <row r="5" spans="3:6" ht="14.25" customHeight="1" x14ac:dyDescent="0.3">
      <c r="C5" s="17" t="s">
        <v>22</v>
      </c>
      <c r="D5" s="17" t="s">
        <v>23</v>
      </c>
      <c r="E5" s="3" t="s">
        <v>24</v>
      </c>
      <c r="F5" s="3" t="s">
        <v>25</v>
      </c>
    </row>
    <row r="6" spans="3:6" ht="14.25" customHeight="1" x14ac:dyDescent="0.3">
      <c r="C6" s="18">
        <v>130</v>
      </c>
      <c r="D6" s="18">
        <v>3504</v>
      </c>
    </row>
    <row r="7" spans="3:6" ht="14.25" customHeight="1" x14ac:dyDescent="0.3">
      <c r="C7" s="19">
        <v>165</v>
      </c>
      <c r="D7" s="19">
        <v>3693</v>
      </c>
    </row>
    <row r="8" spans="3:6" ht="14.25" customHeight="1" x14ac:dyDescent="0.3">
      <c r="C8" s="18">
        <v>150</v>
      </c>
      <c r="D8" s="18">
        <v>3436</v>
      </c>
    </row>
    <row r="9" spans="3:6" ht="14.25" customHeight="1" x14ac:dyDescent="0.3">
      <c r="C9" s="19">
        <v>150</v>
      </c>
      <c r="D9" s="19">
        <v>3433</v>
      </c>
    </row>
    <row r="10" spans="3:6" ht="14.25" customHeight="1" x14ac:dyDescent="0.3">
      <c r="C10" s="18">
        <v>140</v>
      </c>
      <c r="D10" s="18">
        <v>3449</v>
      </c>
    </row>
    <row r="11" spans="3:6" ht="14.25" customHeight="1" x14ac:dyDescent="0.3">
      <c r="C11" s="19">
        <v>198</v>
      </c>
      <c r="D11" s="19">
        <v>4341</v>
      </c>
    </row>
    <row r="12" spans="3:6" ht="14.25" customHeight="1" x14ac:dyDescent="0.3">
      <c r="C12" s="18">
        <v>220</v>
      </c>
      <c r="D12" s="18">
        <v>4354</v>
      </c>
    </row>
    <row r="13" spans="3:6" ht="14.25" customHeight="1" x14ac:dyDescent="0.3">
      <c r="C13" s="19">
        <v>215</v>
      </c>
      <c r="D13" s="19">
        <v>4312</v>
      </c>
    </row>
    <row r="14" spans="3:6" ht="14.25" customHeight="1" x14ac:dyDescent="0.3">
      <c r="C14" s="18">
        <v>225</v>
      </c>
      <c r="D14" s="18">
        <v>4425</v>
      </c>
    </row>
    <row r="15" spans="3:6" ht="14.25" customHeight="1" x14ac:dyDescent="0.3">
      <c r="C15" s="19">
        <v>190</v>
      </c>
      <c r="D15" s="19">
        <v>3850</v>
      </c>
    </row>
    <row r="16" spans="3:6" ht="14.25" customHeight="1" x14ac:dyDescent="0.3">
      <c r="C16" s="18">
        <v>170</v>
      </c>
      <c r="D16" s="18">
        <v>3563</v>
      </c>
    </row>
    <row r="17" spans="3:4" ht="14.25" customHeight="1" x14ac:dyDescent="0.3">
      <c r="C17" s="19">
        <v>160</v>
      </c>
      <c r="D17" s="19">
        <v>3609</v>
      </c>
    </row>
    <row r="18" spans="3:4" ht="14.25" customHeight="1" x14ac:dyDescent="0.3">
      <c r="C18" s="18">
        <v>150</v>
      </c>
      <c r="D18" s="18">
        <v>3761</v>
      </c>
    </row>
    <row r="19" spans="3:4" ht="14.25" customHeight="1" x14ac:dyDescent="0.3">
      <c r="C19" s="19">
        <v>225</v>
      </c>
      <c r="D19" s="19">
        <v>3086</v>
      </c>
    </row>
    <row r="20" spans="3:4" ht="14.25" customHeight="1" x14ac:dyDescent="0.3">
      <c r="C20" s="18">
        <v>95</v>
      </c>
      <c r="D20" s="18">
        <v>2372</v>
      </c>
    </row>
    <row r="21" spans="3:4" ht="14.25" customHeight="1" x14ac:dyDescent="0.3">
      <c r="C21" s="19">
        <v>95</v>
      </c>
      <c r="D21" s="19">
        <v>2833</v>
      </c>
    </row>
    <row r="22" spans="3:4" ht="14.25" customHeight="1" x14ac:dyDescent="0.3">
      <c r="C22" s="18">
        <v>97</v>
      </c>
      <c r="D22" s="18">
        <v>2774</v>
      </c>
    </row>
    <row r="23" spans="3:4" ht="14.25" customHeight="1" x14ac:dyDescent="0.3">
      <c r="C23" s="19">
        <v>85</v>
      </c>
      <c r="D23" s="19">
        <v>2587</v>
      </c>
    </row>
    <row r="24" spans="3:4" ht="14.25" customHeight="1" x14ac:dyDescent="0.3">
      <c r="C24" s="18">
        <v>88</v>
      </c>
      <c r="D24" s="18">
        <v>2130</v>
      </c>
    </row>
    <row r="25" spans="3:4" ht="14.25" customHeight="1" x14ac:dyDescent="0.3">
      <c r="C25" s="19">
        <v>46</v>
      </c>
      <c r="D25" s="19">
        <v>1835</v>
      </c>
    </row>
    <row r="26" spans="3:4" ht="14.25" customHeight="1" x14ac:dyDescent="0.3">
      <c r="C26" s="18">
        <v>87</v>
      </c>
      <c r="D26" s="18">
        <v>2672</v>
      </c>
    </row>
    <row r="27" spans="3:4" ht="14.25" customHeight="1" x14ac:dyDescent="0.3">
      <c r="C27" s="19">
        <v>90</v>
      </c>
      <c r="D27" s="19">
        <v>2430</v>
      </c>
    </row>
    <row r="28" spans="3:4" ht="14.25" customHeight="1" x14ac:dyDescent="0.3">
      <c r="C28" s="18">
        <v>95</v>
      </c>
      <c r="D28" s="18">
        <v>2375</v>
      </c>
    </row>
    <row r="29" spans="3:4" ht="14.25" customHeight="1" x14ac:dyDescent="0.3">
      <c r="C29" s="19">
        <v>113</v>
      </c>
      <c r="D29" s="19">
        <v>2234</v>
      </c>
    </row>
    <row r="30" spans="3:4" ht="14.25" customHeight="1" x14ac:dyDescent="0.3">
      <c r="C30" s="18">
        <v>90</v>
      </c>
      <c r="D30" s="18">
        <v>2648</v>
      </c>
    </row>
    <row r="31" spans="3:4" ht="14.25" customHeight="1" x14ac:dyDescent="0.3">
      <c r="C31" s="19">
        <v>215</v>
      </c>
      <c r="D31" s="19">
        <v>4615</v>
      </c>
    </row>
    <row r="32" spans="3:4" ht="14.25" customHeight="1" x14ac:dyDescent="0.3">
      <c r="C32" s="18">
        <v>200</v>
      </c>
      <c r="D32" s="18">
        <v>4376</v>
      </c>
    </row>
    <row r="33" spans="3:4" ht="14.25" customHeight="1" x14ac:dyDescent="0.3">
      <c r="C33" s="19">
        <v>210</v>
      </c>
      <c r="D33" s="19">
        <v>4382</v>
      </c>
    </row>
    <row r="34" spans="3:4" ht="14.25" customHeight="1" x14ac:dyDescent="0.3">
      <c r="C34" s="18">
        <v>193</v>
      </c>
      <c r="D34" s="18">
        <v>4732</v>
      </c>
    </row>
    <row r="35" spans="3:4" ht="14.25" customHeight="1" x14ac:dyDescent="0.3">
      <c r="C35" s="19">
        <v>88</v>
      </c>
      <c r="D35" s="19">
        <v>2130</v>
      </c>
    </row>
    <row r="36" spans="3:4" ht="14.25" customHeight="1" x14ac:dyDescent="0.3">
      <c r="C36" s="18">
        <v>90</v>
      </c>
      <c r="D36" s="18">
        <v>2264</v>
      </c>
    </row>
    <row r="37" spans="3:4" ht="14.25" customHeight="1" x14ac:dyDescent="0.3">
      <c r="C37" s="19">
        <v>95</v>
      </c>
      <c r="D37" s="19">
        <v>2228</v>
      </c>
    </row>
    <row r="38" spans="3:4" ht="14.25" customHeight="1" x14ac:dyDescent="0.3"/>
    <row r="39" spans="3:4" ht="14.25" customHeight="1" x14ac:dyDescent="0.3"/>
    <row r="40" spans="3:4" ht="14.25" customHeight="1" x14ac:dyDescent="0.3"/>
    <row r="41" spans="3:4" ht="14.25" customHeight="1" x14ac:dyDescent="0.3"/>
    <row r="42" spans="3:4" ht="14.25" customHeight="1" x14ac:dyDescent="0.3"/>
    <row r="43" spans="3:4" ht="14.25" customHeight="1" x14ac:dyDescent="0.3"/>
    <row r="44" spans="3:4" ht="14.25" customHeight="1" x14ac:dyDescent="0.3"/>
    <row r="45" spans="3:4" ht="14.25" customHeight="1" x14ac:dyDescent="0.3"/>
    <row r="46" spans="3:4" ht="14.25" customHeight="1" x14ac:dyDescent="0.3"/>
    <row r="47" spans="3:4" ht="14.25" customHeight="1" x14ac:dyDescent="0.3"/>
    <row r="48" spans="3:4" ht="14.25" customHeight="1" x14ac:dyDescent="0.3"/>
    <row r="49" customFormat="1" ht="14.25" customHeight="1" x14ac:dyDescent="0.3"/>
    <row r="50" customFormat="1" ht="14.25" customHeight="1" x14ac:dyDescent="0.3"/>
    <row r="51" customFormat="1" ht="14.25" customHeight="1" x14ac:dyDescent="0.3"/>
    <row r="52" customFormat="1" ht="14.25" customHeight="1" x14ac:dyDescent="0.3"/>
    <row r="53" customFormat="1" ht="14.25" customHeight="1" x14ac:dyDescent="0.3"/>
    <row r="54" customFormat="1" ht="14.25" customHeight="1" x14ac:dyDescent="0.3"/>
    <row r="55" customFormat="1" ht="14.25" customHeight="1" x14ac:dyDescent="0.3"/>
    <row r="56" customFormat="1" ht="14.25" customHeight="1" x14ac:dyDescent="0.3"/>
    <row r="57" customFormat="1" ht="14.25" customHeight="1" x14ac:dyDescent="0.3"/>
    <row r="58" customFormat="1" ht="14.25" customHeight="1" x14ac:dyDescent="0.3"/>
    <row r="59" customFormat="1" ht="14.25" customHeight="1" x14ac:dyDescent="0.3"/>
    <row r="60" customFormat="1" ht="14.25" customHeight="1" x14ac:dyDescent="0.3"/>
    <row r="61" customFormat="1" ht="14.25" customHeight="1" x14ac:dyDescent="0.3"/>
    <row r="62" customFormat="1" ht="14.25" customHeight="1" x14ac:dyDescent="0.3"/>
    <row r="63" customFormat="1" ht="14.25" customHeight="1" x14ac:dyDescent="0.3"/>
    <row r="64" customFormat="1" ht="14.25" customHeight="1" x14ac:dyDescent="0.3"/>
    <row r="65" customFormat="1" ht="14.25" customHeight="1" x14ac:dyDescent="0.3"/>
    <row r="66" customFormat="1" ht="14.25" customHeight="1" x14ac:dyDescent="0.3"/>
    <row r="67" customFormat="1" ht="14.25" customHeight="1" x14ac:dyDescent="0.3"/>
    <row r="68" customFormat="1" ht="14.25" customHeight="1" x14ac:dyDescent="0.3"/>
    <row r="69" customFormat="1" ht="14.25" customHeight="1" x14ac:dyDescent="0.3"/>
    <row r="70" customFormat="1" ht="14.25" customHeight="1" x14ac:dyDescent="0.3"/>
    <row r="71" customFormat="1" ht="14.25" customHeight="1" x14ac:dyDescent="0.3"/>
    <row r="72" customFormat="1" ht="14.25" customHeight="1" x14ac:dyDescent="0.3"/>
    <row r="73" customFormat="1" ht="14.25" customHeight="1" x14ac:dyDescent="0.3"/>
    <row r="74" customFormat="1" ht="14.25" customHeight="1" x14ac:dyDescent="0.3"/>
    <row r="75" customFormat="1" ht="14.25" customHeight="1" x14ac:dyDescent="0.3"/>
    <row r="76" customFormat="1" ht="14.25" customHeight="1" x14ac:dyDescent="0.3"/>
    <row r="77" customFormat="1" ht="14.25" customHeight="1" x14ac:dyDescent="0.3"/>
    <row r="78" customFormat="1" ht="14.25" customHeight="1" x14ac:dyDescent="0.3"/>
    <row r="79" customFormat="1" ht="14.25" customHeight="1" x14ac:dyDescent="0.3"/>
    <row r="80" customFormat="1" ht="14.25" customHeight="1" x14ac:dyDescent="0.3"/>
    <row r="81" customFormat="1" ht="14.25" customHeight="1" x14ac:dyDescent="0.3"/>
    <row r="82" customFormat="1" ht="14.25" customHeight="1" x14ac:dyDescent="0.3"/>
    <row r="83" customFormat="1" ht="14.25" customHeight="1" x14ac:dyDescent="0.3"/>
    <row r="84" customFormat="1" ht="14.25" customHeight="1" x14ac:dyDescent="0.3"/>
    <row r="85" customFormat="1" ht="14.25" customHeight="1" x14ac:dyDescent="0.3"/>
    <row r="86" customFormat="1" ht="14.25" customHeight="1" x14ac:dyDescent="0.3"/>
    <row r="87" customFormat="1" ht="14.25" customHeight="1" x14ac:dyDescent="0.3"/>
    <row r="88" customFormat="1" ht="14.25" customHeight="1" x14ac:dyDescent="0.3"/>
    <row r="89" customFormat="1" ht="14.25" customHeight="1" x14ac:dyDescent="0.3"/>
    <row r="90" customFormat="1" ht="14.25" customHeight="1" x14ac:dyDescent="0.3"/>
    <row r="91" customFormat="1" ht="14.25" customHeight="1" x14ac:dyDescent="0.3"/>
    <row r="92" customFormat="1" ht="14.25" customHeight="1" x14ac:dyDescent="0.3"/>
    <row r="93" customFormat="1" ht="14.25" customHeight="1" x14ac:dyDescent="0.3"/>
    <row r="94" customFormat="1" ht="14.25" customHeight="1" x14ac:dyDescent="0.3"/>
    <row r="95" customFormat="1" ht="14.25" customHeight="1" x14ac:dyDescent="0.3"/>
    <row r="96" customFormat="1" ht="14.25" customHeight="1" x14ac:dyDescent="0.3"/>
    <row r="97" customFormat="1" ht="14.25" customHeight="1" x14ac:dyDescent="0.3"/>
    <row r="98" customFormat="1" ht="14.25" customHeight="1" x14ac:dyDescent="0.3"/>
    <row r="99" customFormat="1" ht="14.25" customHeight="1" x14ac:dyDescent="0.3"/>
    <row r="100" customFormat="1" ht="14.25" customHeight="1" x14ac:dyDescent="0.3"/>
    <row r="101" customFormat="1" ht="14.25" customHeight="1" x14ac:dyDescent="0.3"/>
    <row r="102" customFormat="1" ht="14.25" customHeight="1" x14ac:dyDescent="0.3"/>
    <row r="103" customFormat="1" ht="14.25" customHeight="1" x14ac:dyDescent="0.3"/>
    <row r="104" customFormat="1" ht="14.25" customHeight="1" x14ac:dyDescent="0.3"/>
    <row r="105" customFormat="1" ht="14.25" customHeight="1" x14ac:dyDescent="0.3"/>
    <row r="106" customFormat="1" ht="14.25" customHeight="1" x14ac:dyDescent="0.3"/>
    <row r="107" customFormat="1" ht="14.25" customHeight="1" x14ac:dyDescent="0.3"/>
    <row r="108" customFormat="1" ht="14.25" customHeight="1" x14ac:dyDescent="0.3"/>
    <row r="109" customFormat="1" ht="14.25" customHeight="1" x14ac:dyDescent="0.3"/>
    <row r="110" customFormat="1" ht="14.25" customHeight="1" x14ac:dyDescent="0.3"/>
    <row r="111" customFormat="1" ht="14.25" customHeight="1" x14ac:dyDescent="0.3"/>
    <row r="112" customFormat="1" ht="14.25" customHeight="1" x14ac:dyDescent="0.3"/>
    <row r="113" customFormat="1" ht="14.25" customHeight="1" x14ac:dyDescent="0.3"/>
    <row r="114" customFormat="1" ht="14.25" customHeight="1" x14ac:dyDescent="0.3"/>
    <row r="115" customFormat="1" ht="14.25" customHeight="1" x14ac:dyDescent="0.3"/>
    <row r="116" customFormat="1" ht="14.25" customHeight="1" x14ac:dyDescent="0.3"/>
    <row r="117" customFormat="1" ht="14.25" customHeight="1" x14ac:dyDescent="0.3"/>
    <row r="118" customFormat="1" ht="14.25" customHeight="1" x14ac:dyDescent="0.3"/>
    <row r="119" customFormat="1" ht="14.25" customHeight="1" x14ac:dyDescent="0.3"/>
    <row r="120" customFormat="1" ht="14.25" customHeight="1" x14ac:dyDescent="0.3"/>
    <row r="121" customFormat="1" ht="14.25" customHeight="1" x14ac:dyDescent="0.3"/>
    <row r="122" customFormat="1" ht="14.25" customHeight="1" x14ac:dyDescent="0.3"/>
    <row r="123" customFormat="1" ht="14.25" customHeight="1" x14ac:dyDescent="0.3"/>
    <row r="124" customFormat="1" ht="14.25" customHeight="1" x14ac:dyDescent="0.3"/>
    <row r="125" customFormat="1" ht="14.25" customHeight="1" x14ac:dyDescent="0.3"/>
    <row r="126" customFormat="1" ht="14.25" customHeight="1" x14ac:dyDescent="0.3"/>
    <row r="127" customFormat="1" ht="14.25" customHeight="1" x14ac:dyDescent="0.3"/>
    <row r="128" customFormat="1" ht="14.25" customHeight="1" x14ac:dyDescent="0.3"/>
    <row r="129" customFormat="1" ht="14.25" customHeight="1" x14ac:dyDescent="0.3"/>
    <row r="130" customFormat="1" ht="14.25" customHeight="1" x14ac:dyDescent="0.3"/>
    <row r="131" customFormat="1" ht="14.25" customHeight="1" x14ac:dyDescent="0.3"/>
    <row r="132" customFormat="1" ht="14.25" customHeight="1" x14ac:dyDescent="0.3"/>
    <row r="133" customFormat="1" ht="14.25" customHeight="1" x14ac:dyDescent="0.3"/>
    <row r="134" customFormat="1" ht="14.25" customHeight="1" x14ac:dyDescent="0.3"/>
    <row r="135" customFormat="1" ht="14.25" customHeight="1" x14ac:dyDescent="0.3"/>
    <row r="136" customFormat="1" ht="14.25" customHeight="1" x14ac:dyDescent="0.3"/>
    <row r="137" customFormat="1" ht="14.25" customHeight="1" x14ac:dyDescent="0.3"/>
    <row r="138" customFormat="1" ht="14.25" customHeight="1" x14ac:dyDescent="0.3"/>
    <row r="139" customFormat="1" ht="14.25" customHeight="1" x14ac:dyDescent="0.3"/>
    <row r="140" customFormat="1" ht="14.25" customHeight="1" x14ac:dyDescent="0.3"/>
    <row r="141" customFormat="1" ht="14.25" customHeight="1" x14ac:dyDescent="0.3"/>
    <row r="142" customFormat="1" ht="14.25" customHeight="1" x14ac:dyDescent="0.3"/>
    <row r="143" customFormat="1" ht="14.25" customHeight="1" x14ac:dyDescent="0.3"/>
    <row r="144" customFormat="1" ht="14.25" customHeight="1" x14ac:dyDescent="0.3"/>
    <row r="145" customFormat="1" ht="14.25" customHeight="1" x14ac:dyDescent="0.3"/>
    <row r="146" customFormat="1" ht="14.25" customHeight="1" x14ac:dyDescent="0.3"/>
    <row r="147" customFormat="1" ht="14.25" customHeight="1" x14ac:dyDescent="0.3"/>
    <row r="148" customFormat="1" ht="14.25" customHeight="1" x14ac:dyDescent="0.3"/>
    <row r="149" customFormat="1" ht="14.25" customHeight="1" x14ac:dyDescent="0.3"/>
    <row r="150" customFormat="1" ht="14.25" customHeight="1" x14ac:dyDescent="0.3"/>
    <row r="151" customFormat="1" ht="14.25" customHeight="1" x14ac:dyDescent="0.3"/>
    <row r="152" customFormat="1" ht="14.25" customHeight="1" x14ac:dyDescent="0.3"/>
    <row r="153" customFormat="1" ht="14.25" customHeight="1" x14ac:dyDescent="0.3"/>
    <row r="154" customFormat="1" ht="14.25" customHeight="1" x14ac:dyDescent="0.3"/>
    <row r="155" customFormat="1" ht="14.25" customHeight="1" x14ac:dyDescent="0.3"/>
    <row r="156" customFormat="1" ht="14.25" customHeight="1" x14ac:dyDescent="0.3"/>
    <row r="157" customFormat="1" ht="14.25" customHeight="1" x14ac:dyDescent="0.3"/>
    <row r="158" customFormat="1" ht="14.25" customHeight="1" x14ac:dyDescent="0.3"/>
    <row r="159" customFormat="1" ht="14.25" customHeight="1" x14ac:dyDescent="0.3"/>
    <row r="160" customFormat="1" ht="14.25" customHeight="1" x14ac:dyDescent="0.3"/>
    <row r="161" customFormat="1" ht="14.25" customHeight="1" x14ac:dyDescent="0.3"/>
    <row r="162" customFormat="1" ht="14.25" customHeight="1" x14ac:dyDescent="0.3"/>
    <row r="163" customFormat="1" ht="14.25" customHeight="1" x14ac:dyDescent="0.3"/>
    <row r="164" customFormat="1" ht="14.25" customHeight="1" x14ac:dyDescent="0.3"/>
    <row r="165" customFormat="1" ht="14.25" customHeight="1" x14ac:dyDescent="0.3"/>
    <row r="166" customFormat="1" ht="14.25" customHeight="1" x14ac:dyDescent="0.3"/>
    <row r="167" customFormat="1" ht="14.25" customHeight="1" x14ac:dyDescent="0.3"/>
    <row r="168" customFormat="1" ht="14.25" customHeight="1" x14ac:dyDescent="0.3"/>
    <row r="169" customFormat="1" ht="14.25" customHeight="1" x14ac:dyDescent="0.3"/>
    <row r="170" customFormat="1" ht="14.25" customHeight="1" x14ac:dyDescent="0.3"/>
    <row r="171" customFormat="1" ht="14.25" customHeight="1" x14ac:dyDescent="0.3"/>
    <row r="172" customFormat="1" ht="14.25" customHeight="1" x14ac:dyDescent="0.3"/>
    <row r="173" customFormat="1" ht="14.25" customHeight="1" x14ac:dyDescent="0.3"/>
    <row r="174" customFormat="1" ht="14.25" customHeight="1" x14ac:dyDescent="0.3"/>
    <row r="175" customFormat="1" ht="14.25" customHeight="1" x14ac:dyDescent="0.3"/>
    <row r="176" customFormat="1" ht="14.25" customHeight="1" x14ac:dyDescent="0.3"/>
    <row r="177" customFormat="1" ht="14.25" customHeight="1" x14ac:dyDescent="0.3"/>
    <row r="178" customFormat="1" ht="14.25" customHeight="1" x14ac:dyDescent="0.3"/>
    <row r="179" customFormat="1" ht="14.25" customHeight="1" x14ac:dyDescent="0.3"/>
    <row r="180" customFormat="1" ht="14.25" customHeight="1" x14ac:dyDescent="0.3"/>
    <row r="181" customFormat="1" ht="14.25" customHeight="1" x14ac:dyDescent="0.3"/>
    <row r="182" customFormat="1" ht="14.25" customHeight="1" x14ac:dyDescent="0.3"/>
    <row r="183" customFormat="1" ht="14.25" customHeight="1" x14ac:dyDescent="0.3"/>
    <row r="184" customFormat="1" ht="14.25" customHeight="1" x14ac:dyDescent="0.3"/>
    <row r="185" customFormat="1" ht="14.25" customHeight="1" x14ac:dyDescent="0.3"/>
    <row r="186" customFormat="1" ht="14.25" customHeight="1" x14ac:dyDescent="0.3"/>
    <row r="187" customFormat="1" ht="14.25" customHeight="1" x14ac:dyDescent="0.3"/>
    <row r="188" customFormat="1" ht="14.25" customHeight="1" x14ac:dyDescent="0.3"/>
    <row r="189" customFormat="1" ht="14.25" customHeight="1" x14ac:dyDescent="0.3"/>
    <row r="190" customFormat="1" ht="14.25" customHeight="1" x14ac:dyDescent="0.3"/>
    <row r="191" customFormat="1" ht="14.25" customHeight="1" x14ac:dyDescent="0.3"/>
    <row r="192" customFormat="1" ht="14.25" customHeight="1" x14ac:dyDescent="0.3"/>
    <row r="193" customFormat="1" ht="14.25" customHeight="1" x14ac:dyDescent="0.3"/>
    <row r="194" customFormat="1" ht="14.25" customHeight="1" x14ac:dyDescent="0.3"/>
    <row r="195" customFormat="1" ht="14.25" customHeight="1" x14ac:dyDescent="0.3"/>
    <row r="196" customFormat="1" ht="14.25" customHeight="1" x14ac:dyDescent="0.3"/>
    <row r="197" customFormat="1" ht="14.25" customHeight="1" x14ac:dyDescent="0.3"/>
    <row r="198" customFormat="1" ht="14.25" customHeight="1" x14ac:dyDescent="0.3"/>
    <row r="199" customFormat="1" ht="14.25" customHeight="1" x14ac:dyDescent="0.3"/>
    <row r="200" customFormat="1" ht="14.25" customHeight="1" x14ac:dyDescent="0.3"/>
    <row r="201" customFormat="1" ht="14.25" customHeight="1" x14ac:dyDescent="0.3"/>
    <row r="202" customFormat="1" ht="14.25" customHeight="1" x14ac:dyDescent="0.3"/>
    <row r="203" customFormat="1" ht="14.25" customHeight="1" x14ac:dyDescent="0.3"/>
    <row r="204" customFormat="1" ht="14.25" customHeight="1" x14ac:dyDescent="0.3"/>
    <row r="205" customFormat="1" ht="14.25" customHeight="1" x14ac:dyDescent="0.3"/>
    <row r="206" customFormat="1" ht="14.25" customHeight="1" x14ac:dyDescent="0.3"/>
    <row r="207" customFormat="1" ht="14.25" customHeight="1" x14ac:dyDescent="0.3"/>
    <row r="208" customFormat="1" ht="14.25" customHeight="1" x14ac:dyDescent="0.3"/>
    <row r="209" customFormat="1" ht="14.25" customHeight="1" x14ac:dyDescent="0.3"/>
    <row r="210" customFormat="1" ht="14.25" customHeight="1" x14ac:dyDescent="0.3"/>
    <row r="211" customFormat="1" ht="14.25" customHeight="1" x14ac:dyDescent="0.3"/>
    <row r="212" customFormat="1" ht="14.25" customHeight="1" x14ac:dyDescent="0.3"/>
    <row r="213" customFormat="1" ht="14.25" customHeight="1" x14ac:dyDescent="0.3"/>
    <row r="214" customFormat="1" ht="14.25" customHeight="1" x14ac:dyDescent="0.3"/>
    <row r="215" customFormat="1" ht="14.25" customHeight="1" x14ac:dyDescent="0.3"/>
    <row r="216" customFormat="1" ht="14.25" customHeight="1" x14ac:dyDescent="0.3"/>
    <row r="217" customFormat="1" ht="14.25" customHeight="1" x14ac:dyDescent="0.3"/>
    <row r="218" customFormat="1" ht="14.25" customHeight="1" x14ac:dyDescent="0.3"/>
    <row r="219" customFormat="1" ht="14.25" customHeight="1" x14ac:dyDescent="0.3"/>
    <row r="220" customFormat="1" ht="14.25" customHeight="1" x14ac:dyDescent="0.3"/>
    <row r="221" customFormat="1" ht="14.25" customHeight="1" x14ac:dyDescent="0.3"/>
    <row r="222" customFormat="1" ht="14.25" customHeight="1" x14ac:dyDescent="0.3"/>
    <row r="223" customFormat="1" ht="14.25" customHeight="1" x14ac:dyDescent="0.3"/>
    <row r="224" customFormat="1" ht="14.25" customHeight="1" x14ac:dyDescent="0.3"/>
    <row r="225" customFormat="1" ht="14.25" customHeight="1" x14ac:dyDescent="0.3"/>
    <row r="226" customFormat="1" ht="14.25" customHeight="1" x14ac:dyDescent="0.3"/>
    <row r="227" customFormat="1" ht="14.25" customHeight="1" x14ac:dyDescent="0.3"/>
    <row r="228" customFormat="1" ht="14.25" customHeight="1" x14ac:dyDescent="0.3"/>
    <row r="229" customFormat="1" ht="14.25" customHeight="1" x14ac:dyDescent="0.3"/>
    <row r="230" customFormat="1" ht="14.25" customHeight="1" x14ac:dyDescent="0.3"/>
    <row r="231" customFormat="1" ht="14.25" customHeight="1" x14ac:dyDescent="0.3"/>
    <row r="232" customFormat="1" ht="14.25" customHeight="1" x14ac:dyDescent="0.3"/>
    <row r="233" customFormat="1" ht="14.25" customHeight="1" x14ac:dyDescent="0.3"/>
    <row r="234" customFormat="1" ht="14.25" customHeight="1" x14ac:dyDescent="0.3"/>
    <row r="235" customFormat="1" ht="14.25" customHeight="1" x14ac:dyDescent="0.3"/>
    <row r="236" customFormat="1" ht="14.25" customHeight="1" x14ac:dyDescent="0.3"/>
    <row r="237" customFormat="1" ht="14.25" customHeight="1" x14ac:dyDescent="0.3"/>
    <row r="238" customFormat="1" ht="14.25" customHeight="1" x14ac:dyDescent="0.3"/>
    <row r="239" customFormat="1" ht="14.25" customHeight="1" x14ac:dyDescent="0.3"/>
    <row r="240" customFormat="1" ht="14.25" customHeight="1" x14ac:dyDescent="0.3"/>
    <row r="241" customFormat="1" ht="14.25" customHeight="1" x14ac:dyDescent="0.3"/>
    <row r="242" customFormat="1" ht="14.25" customHeight="1" x14ac:dyDescent="0.3"/>
    <row r="243" customFormat="1" ht="14.25" customHeight="1" x14ac:dyDescent="0.3"/>
    <row r="244" customFormat="1" ht="14.25" customHeight="1" x14ac:dyDescent="0.3"/>
    <row r="245" customFormat="1" ht="14.25" customHeight="1" x14ac:dyDescent="0.3"/>
    <row r="246" customFormat="1" ht="14.25" customHeight="1" x14ac:dyDescent="0.3"/>
    <row r="247" customFormat="1" ht="14.25" customHeight="1" x14ac:dyDescent="0.3"/>
    <row r="248" customFormat="1" ht="14.25" customHeight="1" x14ac:dyDescent="0.3"/>
    <row r="249" customFormat="1" ht="14.25" customHeight="1" x14ac:dyDescent="0.3"/>
    <row r="250" customFormat="1" ht="14.25" customHeight="1" x14ac:dyDescent="0.3"/>
    <row r="251" customFormat="1" ht="14.25" customHeight="1" x14ac:dyDescent="0.3"/>
    <row r="252" customFormat="1" ht="14.25" customHeight="1" x14ac:dyDescent="0.3"/>
    <row r="253" customFormat="1" ht="14.25" customHeight="1" x14ac:dyDescent="0.3"/>
    <row r="254" customFormat="1" ht="14.25" customHeight="1" x14ac:dyDescent="0.3"/>
    <row r="255" customFormat="1" ht="14.25" customHeight="1" x14ac:dyDescent="0.3"/>
    <row r="256" customFormat="1" ht="14.25" customHeight="1" x14ac:dyDescent="0.3"/>
    <row r="257" customFormat="1" ht="14.25" customHeight="1" x14ac:dyDescent="0.3"/>
    <row r="258" customFormat="1" ht="14.25" customHeight="1" x14ac:dyDescent="0.3"/>
    <row r="259" customFormat="1" ht="14.25" customHeight="1" x14ac:dyDescent="0.3"/>
    <row r="260" customFormat="1" ht="14.25" customHeight="1" x14ac:dyDescent="0.3"/>
    <row r="261" customFormat="1" ht="14.25" customHeight="1" x14ac:dyDescent="0.3"/>
    <row r="262" customFormat="1" ht="14.25" customHeight="1" x14ac:dyDescent="0.3"/>
    <row r="263" customFormat="1" ht="14.25" customHeight="1" x14ac:dyDescent="0.3"/>
    <row r="264" customFormat="1" ht="14.25" customHeight="1" x14ac:dyDescent="0.3"/>
    <row r="265" customFormat="1" ht="14.25" customHeight="1" x14ac:dyDescent="0.3"/>
    <row r="266" customFormat="1" ht="14.25" customHeight="1" x14ac:dyDescent="0.3"/>
    <row r="267" customFormat="1" ht="14.25" customHeight="1" x14ac:dyDescent="0.3"/>
    <row r="268" customFormat="1" ht="14.25" customHeight="1" x14ac:dyDescent="0.3"/>
    <row r="269" customFormat="1" ht="14.25" customHeight="1" x14ac:dyDescent="0.3"/>
    <row r="270" customFormat="1" ht="14.25" customHeight="1" x14ac:dyDescent="0.3"/>
    <row r="271" customFormat="1" ht="14.25" customHeight="1" x14ac:dyDescent="0.3"/>
    <row r="272" customFormat="1" ht="14.25" customHeight="1" x14ac:dyDescent="0.3"/>
    <row r="273" customFormat="1" ht="14.25" customHeight="1" x14ac:dyDescent="0.3"/>
    <row r="274" customFormat="1" ht="14.25" customHeight="1" x14ac:dyDescent="0.3"/>
    <row r="275" customFormat="1" ht="14.25" customHeight="1" x14ac:dyDescent="0.3"/>
    <row r="276" customFormat="1" ht="14.25" customHeight="1" x14ac:dyDescent="0.3"/>
    <row r="277" customFormat="1" ht="14.25" customHeight="1" x14ac:dyDescent="0.3"/>
    <row r="278" customFormat="1" ht="14.25" customHeight="1" x14ac:dyDescent="0.3"/>
    <row r="279" customFormat="1" ht="14.25" customHeight="1" x14ac:dyDescent="0.3"/>
    <row r="280" customFormat="1" ht="14.25" customHeight="1" x14ac:dyDescent="0.3"/>
    <row r="281" customFormat="1" ht="14.25" customHeight="1" x14ac:dyDescent="0.3"/>
    <row r="282" customFormat="1" ht="14.25" customHeight="1" x14ac:dyDescent="0.3"/>
    <row r="283" customFormat="1" ht="14.25" customHeight="1" x14ac:dyDescent="0.3"/>
    <row r="284" customFormat="1" ht="14.25" customHeight="1" x14ac:dyDescent="0.3"/>
    <row r="285" customFormat="1" ht="14.25" customHeight="1" x14ac:dyDescent="0.3"/>
    <row r="286" customFormat="1" ht="14.25" customHeight="1" x14ac:dyDescent="0.3"/>
    <row r="287" customFormat="1" ht="14.25" customHeight="1" x14ac:dyDescent="0.3"/>
    <row r="288" customFormat="1" ht="14.25" customHeight="1" x14ac:dyDescent="0.3"/>
    <row r="289" customFormat="1" ht="14.25" customHeight="1" x14ac:dyDescent="0.3"/>
    <row r="290" customFormat="1" ht="14.25" customHeight="1" x14ac:dyDescent="0.3"/>
    <row r="291" customFormat="1" ht="14.25" customHeight="1" x14ac:dyDescent="0.3"/>
    <row r="292" customFormat="1" ht="14.25" customHeight="1" x14ac:dyDescent="0.3"/>
    <row r="293" customFormat="1" ht="14.25" customHeight="1" x14ac:dyDescent="0.3"/>
    <row r="294" customFormat="1" ht="14.25" customHeight="1" x14ac:dyDescent="0.3"/>
    <row r="295" customFormat="1" ht="14.25" customHeight="1" x14ac:dyDescent="0.3"/>
    <row r="296" customFormat="1" ht="14.25" customHeight="1" x14ac:dyDescent="0.3"/>
    <row r="297" customFormat="1" ht="14.25" customHeight="1" x14ac:dyDescent="0.3"/>
    <row r="298" customFormat="1" ht="14.25" customHeight="1" x14ac:dyDescent="0.3"/>
    <row r="299" customFormat="1" ht="14.25" customHeight="1" x14ac:dyDescent="0.3"/>
    <row r="300" customFormat="1" ht="14.25" customHeight="1" x14ac:dyDescent="0.3"/>
    <row r="301" customFormat="1" ht="14.25" customHeight="1" x14ac:dyDescent="0.3"/>
    <row r="302" customFormat="1" ht="14.25" customHeight="1" x14ac:dyDescent="0.3"/>
    <row r="303" customFormat="1" ht="14.25" customHeight="1" x14ac:dyDescent="0.3"/>
    <row r="304" customFormat="1" ht="14.25" customHeight="1" x14ac:dyDescent="0.3"/>
    <row r="305" customFormat="1" ht="14.25" customHeight="1" x14ac:dyDescent="0.3"/>
    <row r="306" customFormat="1" ht="14.25" customHeight="1" x14ac:dyDescent="0.3"/>
    <row r="307" customFormat="1" ht="14.25" customHeight="1" x14ac:dyDescent="0.3"/>
    <row r="308" customFormat="1" ht="14.25" customHeight="1" x14ac:dyDescent="0.3"/>
    <row r="309" customFormat="1" ht="14.25" customHeight="1" x14ac:dyDescent="0.3"/>
    <row r="310" customFormat="1" ht="14.25" customHeight="1" x14ac:dyDescent="0.3"/>
    <row r="311" customFormat="1" ht="14.25" customHeight="1" x14ac:dyDescent="0.3"/>
    <row r="312" customFormat="1" ht="14.25" customHeight="1" x14ac:dyDescent="0.3"/>
    <row r="313" customFormat="1" ht="14.25" customHeight="1" x14ac:dyDescent="0.3"/>
    <row r="314" customFormat="1" ht="14.25" customHeight="1" x14ac:dyDescent="0.3"/>
    <row r="315" customFormat="1" ht="14.25" customHeight="1" x14ac:dyDescent="0.3"/>
    <row r="316" customFormat="1" ht="14.25" customHeight="1" x14ac:dyDescent="0.3"/>
    <row r="317" customFormat="1" ht="14.25" customHeight="1" x14ac:dyDescent="0.3"/>
    <row r="318" customFormat="1" ht="14.25" customHeight="1" x14ac:dyDescent="0.3"/>
    <row r="319" customFormat="1" ht="14.25" customHeight="1" x14ac:dyDescent="0.3"/>
    <row r="320" customFormat="1" ht="14.25" customHeight="1" x14ac:dyDescent="0.3"/>
    <row r="321" customFormat="1" ht="14.25" customHeight="1" x14ac:dyDescent="0.3"/>
    <row r="322" customFormat="1" ht="14.25" customHeight="1" x14ac:dyDescent="0.3"/>
    <row r="323" customFormat="1" ht="14.25" customHeight="1" x14ac:dyDescent="0.3"/>
    <row r="324" customFormat="1" ht="14.25" customHeight="1" x14ac:dyDescent="0.3"/>
    <row r="325" customFormat="1" ht="14.25" customHeight="1" x14ac:dyDescent="0.3"/>
    <row r="326" customFormat="1" ht="14.25" customHeight="1" x14ac:dyDescent="0.3"/>
    <row r="327" customFormat="1" ht="14.25" customHeight="1" x14ac:dyDescent="0.3"/>
    <row r="328" customFormat="1" ht="14.25" customHeight="1" x14ac:dyDescent="0.3"/>
    <row r="329" customFormat="1" ht="14.25" customHeight="1" x14ac:dyDescent="0.3"/>
    <row r="330" customFormat="1" ht="14.25" customHeight="1" x14ac:dyDescent="0.3"/>
    <row r="331" customFormat="1" ht="14.25" customHeight="1" x14ac:dyDescent="0.3"/>
    <row r="332" customFormat="1" ht="14.25" customHeight="1" x14ac:dyDescent="0.3"/>
    <row r="333" customFormat="1" ht="14.25" customHeight="1" x14ac:dyDescent="0.3"/>
    <row r="334" customFormat="1" ht="14.25" customHeight="1" x14ac:dyDescent="0.3"/>
    <row r="335" customFormat="1" ht="14.25" customHeight="1" x14ac:dyDescent="0.3"/>
    <row r="336" customFormat="1" ht="14.25" customHeight="1" x14ac:dyDescent="0.3"/>
    <row r="337" customFormat="1" ht="14.25" customHeight="1" x14ac:dyDescent="0.3"/>
    <row r="338" customFormat="1" ht="14.25" customHeight="1" x14ac:dyDescent="0.3"/>
    <row r="339" customFormat="1" ht="14.25" customHeight="1" x14ac:dyDescent="0.3"/>
    <row r="340" customFormat="1" ht="14.25" customHeight="1" x14ac:dyDescent="0.3"/>
    <row r="341" customFormat="1" ht="14.25" customHeight="1" x14ac:dyDescent="0.3"/>
    <row r="342" customFormat="1" ht="14.25" customHeight="1" x14ac:dyDescent="0.3"/>
    <row r="343" customFormat="1" ht="14.25" customHeight="1" x14ac:dyDescent="0.3"/>
    <row r="344" customFormat="1" ht="14.25" customHeight="1" x14ac:dyDescent="0.3"/>
    <row r="345" customFormat="1" ht="14.25" customHeight="1" x14ac:dyDescent="0.3"/>
    <row r="346" customFormat="1" ht="14.25" customHeight="1" x14ac:dyDescent="0.3"/>
    <row r="347" customFormat="1" ht="14.25" customHeight="1" x14ac:dyDescent="0.3"/>
    <row r="348" customFormat="1" ht="14.25" customHeight="1" x14ac:dyDescent="0.3"/>
    <row r="349" customFormat="1" ht="14.25" customHeight="1" x14ac:dyDescent="0.3"/>
    <row r="350" customFormat="1" ht="14.25" customHeight="1" x14ac:dyDescent="0.3"/>
    <row r="351" customFormat="1" ht="14.25" customHeight="1" x14ac:dyDescent="0.3"/>
    <row r="352" customFormat="1" ht="14.25" customHeight="1" x14ac:dyDescent="0.3"/>
    <row r="353" customFormat="1" ht="14.25" customHeight="1" x14ac:dyDescent="0.3"/>
    <row r="354" customFormat="1" ht="14.25" customHeight="1" x14ac:dyDescent="0.3"/>
    <row r="355" customFormat="1" ht="14.25" customHeight="1" x14ac:dyDescent="0.3"/>
    <row r="356" customFormat="1" ht="14.25" customHeight="1" x14ac:dyDescent="0.3"/>
    <row r="357" customFormat="1" ht="14.25" customHeight="1" x14ac:dyDescent="0.3"/>
    <row r="358" customFormat="1" ht="14.25" customHeight="1" x14ac:dyDescent="0.3"/>
    <row r="359" customFormat="1" ht="14.25" customHeight="1" x14ac:dyDescent="0.3"/>
    <row r="360" customFormat="1" ht="14.25" customHeight="1" x14ac:dyDescent="0.3"/>
    <row r="361" customFormat="1" ht="14.25" customHeight="1" x14ac:dyDescent="0.3"/>
    <row r="362" customFormat="1" ht="14.25" customHeight="1" x14ac:dyDescent="0.3"/>
    <row r="363" customFormat="1" ht="14.25" customHeight="1" x14ac:dyDescent="0.3"/>
    <row r="364" customFormat="1" ht="14.25" customHeight="1" x14ac:dyDescent="0.3"/>
    <row r="365" customFormat="1" ht="14.25" customHeight="1" x14ac:dyDescent="0.3"/>
    <row r="366" customFormat="1" ht="14.25" customHeight="1" x14ac:dyDescent="0.3"/>
    <row r="367" customFormat="1" ht="14.25" customHeight="1" x14ac:dyDescent="0.3"/>
    <row r="368" customFormat="1" ht="14.25" customHeight="1" x14ac:dyDescent="0.3"/>
    <row r="369" customFormat="1" ht="14.25" customHeight="1" x14ac:dyDescent="0.3"/>
    <row r="370" customFormat="1" ht="14.25" customHeight="1" x14ac:dyDescent="0.3"/>
    <row r="371" customFormat="1" ht="14.25" customHeight="1" x14ac:dyDescent="0.3"/>
    <row r="372" customFormat="1" ht="14.25" customHeight="1" x14ac:dyDescent="0.3"/>
    <row r="373" customFormat="1" ht="14.25" customHeight="1" x14ac:dyDescent="0.3"/>
    <row r="374" customFormat="1" ht="14.25" customHeight="1" x14ac:dyDescent="0.3"/>
    <row r="375" customFormat="1" ht="14.25" customHeight="1" x14ac:dyDescent="0.3"/>
    <row r="376" customFormat="1" ht="14.25" customHeight="1" x14ac:dyDescent="0.3"/>
    <row r="377" customFormat="1" ht="14.25" customHeight="1" x14ac:dyDescent="0.3"/>
    <row r="378" customFormat="1" ht="14.25" customHeight="1" x14ac:dyDescent="0.3"/>
    <row r="379" customFormat="1" ht="14.25" customHeight="1" x14ac:dyDescent="0.3"/>
    <row r="380" customFormat="1" ht="14.25" customHeight="1" x14ac:dyDescent="0.3"/>
    <row r="381" customFormat="1" ht="14.25" customHeight="1" x14ac:dyDescent="0.3"/>
    <row r="382" customFormat="1" ht="14.25" customHeight="1" x14ac:dyDescent="0.3"/>
    <row r="383" customFormat="1" ht="14.25" customHeight="1" x14ac:dyDescent="0.3"/>
    <row r="384" customFormat="1" ht="14.25" customHeight="1" x14ac:dyDescent="0.3"/>
    <row r="385" customFormat="1" ht="14.25" customHeight="1" x14ac:dyDescent="0.3"/>
    <row r="386" customFormat="1" ht="14.25" customHeight="1" x14ac:dyDescent="0.3"/>
    <row r="387" customFormat="1" ht="14.25" customHeight="1" x14ac:dyDescent="0.3"/>
    <row r="388" customFormat="1" ht="14.25" customHeight="1" x14ac:dyDescent="0.3"/>
    <row r="389" customFormat="1" ht="14.25" customHeight="1" x14ac:dyDescent="0.3"/>
    <row r="390" customFormat="1" ht="14.25" customHeight="1" x14ac:dyDescent="0.3"/>
    <row r="391" customFormat="1" ht="14.25" customHeight="1" x14ac:dyDescent="0.3"/>
    <row r="392" customFormat="1" ht="14.25" customHeight="1" x14ac:dyDescent="0.3"/>
    <row r="393" customFormat="1" ht="14.25" customHeight="1" x14ac:dyDescent="0.3"/>
    <row r="394" customFormat="1" ht="14.25" customHeight="1" x14ac:dyDescent="0.3"/>
    <row r="395" customFormat="1" ht="14.25" customHeight="1" x14ac:dyDescent="0.3"/>
    <row r="396" customFormat="1" ht="14.25" customHeight="1" x14ac:dyDescent="0.3"/>
    <row r="397" customFormat="1" ht="14.25" customHeight="1" x14ac:dyDescent="0.3"/>
    <row r="398" customFormat="1" ht="14.25" customHeight="1" x14ac:dyDescent="0.3"/>
    <row r="399" customFormat="1" ht="14.25" customHeight="1" x14ac:dyDescent="0.3"/>
    <row r="400" customFormat="1" ht="14.25" customHeight="1" x14ac:dyDescent="0.3"/>
    <row r="401" customFormat="1" ht="14.25" customHeight="1" x14ac:dyDescent="0.3"/>
    <row r="402" customFormat="1" ht="14.25" customHeight="1" x14ac:dyDescent="0.3"/>
    <row r="403" customFormat="1" ht="14.25" customHeight="1" x14ac:dyDescent="0.3"/>
    <row r="404" customFormat="1" ht="14.25" customHeight="1" x14ac:dyDescent="0.3"/>
    <row r="405" customFormat="1" ht="14.25" customHeight="1" x14ac:dyDescent="0.3"/>
    <row r="406" customFormat="1" ht="14.25" customHeight="1" x14ac:dyDescent="0.3"/>
    <row r="407" customFormat="1" ht="14.25" customHeight="1" x14ac:dyDescent="0.3"/>
    <row r="408" customFormat="1" ht="14.25" customHeight="1" x14ac:dyDescent="0.3"/>
    <row r="409" customFormat="1" ht="14.25" customHeight="1" x14ac:dyDescent="0.3"/>
    <row r="410" customFormat="1" ht="14.25" customHeight="1" x14ac:dyDescent="0.3"/>
    <row r="411" customFormat="1" ht="14.25" customHeight="1" x14ac:dyDescent="0.3"/>
    <row r="412" customFormat="1" ht="14.25" customHeight="1" x14ac:dyDescent="0.3"/>
    <row r="413" customFormat="1" ht="14.25" customHeight="1" x14ac:dyDescent="0.3"/>
    <row r="414" customFormat="1" ht="14.25" customHeight="1" x14ac:dyDescent="0.3"/>
    <row r="415" customFormat="1" ht="14.25" customHeight="1" x14ac:dyDescent="0.3"/>
    <row r="416" customFormat="1" ht="14.25" customHeight="1" x14ac:dyDescent="0.3"/>
    <row r="417" customFormat="1" ht="14.25" customHeight="1" x14ac:dyDescent="0.3"/>
    <row r="418" customFormat="1" ht="14.25" customHeight="1" x14ac:dyDescent="0.3"/>
    <row r="419" customFormat="1" ht="14.25" customHeight="1" x14ac:dyDescent="0.3"/>
    <row r="420" customFormat="1" ht="14.25" customHeight="1" x14ac:dyDescent="0.3"/>
    <row r="421" customFormat="1" ht="14.25" customHeight="1" x14ac:dyDescent="0.3"/>
    <row r="422" customFormat="1" ht="14.25" customHeight="1" x14ac:dyDescent="0.3"/>
    <row r="423" customFormat="1" ht="14.25" customHeight="1" x14ac:dyDescent="0.3"/>
    <row r="424" customFormat="1" ht="14.25" customHeight="1" x14ac:dyDescent="0.3"/>
    <row r="425" customFormat="1" ht="14.25" customHeight="1" x14ac:dyDescent="0.3"/>
    <row r="426" customFormat="1" ht="14.25" customHeight="1" x14ac:dyDescent="0.3"/>
    <row r="427" customFormat="1" ht="14.25" customHeight="1" x14ac:dyDescent="0.3"/>
    <row r="428" customFormat="1" ht="14.25" customHeight="1" x14ac:dyDescent="0.3"/>
    <row r="429" customFormat="1" ht="14.25" customHeight="1" x14ac:dyDescent="0.3"/>
    <row r="430" customFormat="1" ht="14.25" customHeight="1" x14ac:dyDescent="0.3"/>
    <row r="431" customFormat="1" ht="14.25" customHeight="1" x14ac:dyDescent="0.3"/>
    <row r="432" customFormat="1" ht="14.25" customHeight="1" x14ac:dyDescent="0.3"/>
    <row r="433" customFormat="1" ht="14.25" customHeight="1" x14ac:dyDescent="0.3"/>
    <row r="434" customFormat="1" ht="14.25" customHeight="1" x14ac:dyDescent="0.3"/>
    <row r="435" customFormat="1" ht="14.25" customHeight="1" x14ac:dyDescent="0.3"/>
    <row r="436" customFormat="1" ht="14.25" customHeight="1" x14ac:dyDescent="0.3"/>
    <row r="437" customFormat="1" ht="14.25" customHeight="1" x14ac:dyDescent="0.3"/>
    <row r="438" customFormat="1" ht="14.25" customHeight="1" x14ac:dyDescent="0.3"/>
    <row r="439" customFormat="1" ht="14.25" customHeight="1" x14ac:dyDescent="0.3"/>
    <row r="440" customFormat="1" ht="14.25" customHeight="1" x14ac:dyDescent="0.3"/>
    <row r="441" customFormat="1" ht="14.25" customHeight="1" x14ac:dyDescent="0.3"/>
    <row r="442" customFormat="1" ht="14.25" customHeight="1" x14ac:dyDescent="0.3"/>
    <row r="443" customFormat="1" ht="14.25" customHeight="1" x14ac:dyDescent="0.3"/>
    <row r="444" customFormat="1" ht="14.25" customHeight="1" x14ac:dyDescent="0.3"/>
    <row r="445" customFormat="1" ht="14.25" customHeight="1" x14ac:dyDescent="0.3"/>
    <row r="446" customFormat="1" ht="14.25" customHeight="1" x14ac:dyDescent="0.3"/>
    <row r="447" customFormat="1" ht="14.25" customHeight="1" x14ac:dyDescent="0.3"/>
    <row r="448" customFormat="1" ht="14.25" customHeight="1" x14ac:dyDescent="0.3"/>
    <row r="449" customFormat="1" ht="14.25" customHeight="1" x14ac:dyDescent="0.3"/>
    <row r="450" customFormat="1" ht="14.25" customHeight="1" x14ac:dyDescent="0.3"/>
    <row r="451" customFormat="1" ht="14.25" customHeight="1" x14ac:dyDescent="0.3"/>
    <row r="452" customFormat="1" ht="14.25" customHeight="1" x14ac:dyDescent="0.3"/>
    <row r="453" customFormat="1" ht="14.25" customHeight="1" x14ac:dyDescent="0.3"/>
    <row r="454" customFormat="1" ht="14.25" customHeight="1" x14ac:dyDescent="0.3"/>
    <row r="455" customFormat="1" ht="14.25" customHeight="1" x14ac:dyDescent="0.3"/>
    <row r="456" customFormat="1" ht="14.25" customHeight="1" x14ac:dyDescent="0.3"/>
    <row r="457" customFormat="1" ht="14.25" customHeight="1" x14ac:dyDescent="0.3"/>
    <row r="458" customFormat="1" ht="14.25" customHeight="1" x14ac:dyDescent="0.3"/>
    <row r="459" customFormat="1" ht="14.25" customHeight="1" x14ac:dyDescent="0.3"/>
    <row r="460" customFormat="1" ht="14.25" customHeight="1" x14ac:dyDescent="0.3"/>
    <row r="461" customFormat="1" ht="14.25" customHeight="1" x14ac:dyDescent="0.3"/>
    <row r="462" customFormat="1" ht="14.25" customHeight="1" x14ac:dyDescent="0.3"/>
    <row r="463" customFormat="1" ht="14.25" customHeight="1" x14ac:dyDescent="0.3"/>
    <row r="464" customFormat="1" ht="14.25" customHeight="1" x14ac:dyDescent="0.3"/>
    <row r="465" customFormat="1" ht="14.25" customHeight="1" x14ac:dyDescent="0.3"/>
    <row r="466" customFormat="1" ht="14.25" customHeight="1" x14ac:dyDescent="0.3"/>
    <row r="467" customFormat="1" ht="14.25" customHeight="1" x14ac:dyDescent="0.3"/>
    <row r="468" customFormat="1" ht="14.25" customHeight="1" x14ac:dyDescent="0.3"/>
    <row r="469" customFormat="1" ht="14.25" customHeight="1" x14ac:dyDescent="0.3"/>
    <row r="470" customFormat="1" ht="14.25" customHeight="1" x14ac:dyDescent="0.3"/>
    <row r="471" customFormat="1" ht="14.25" customHeight="1" x14ac:dyDescent="0.3"/>
    <row r="472" customFormat="1" ht="14.25" customHeight="1" x14ac:dyDescent="0.3"/>
    <row r="473" customFormat="1" ht="14.25" customHeight="1" x14ac:dyDescent="0.3"/>
    <row r="474" customFormat="1" ht="14.25" customHeight="1" x14ac:dyDescent="0.3"/>
    <row r="475" customFormat="1" ht="14.25" customHeight="1" x14ac:dyDescent="0.3"/>
    <row r="476" customFormat="1" ht="14.25" customHeight="1" x14ac:dyDescent="0.3"/>
    <row r="477" customFormat="1" ht="14.25" customHeight="1" x14ac:dyDescent="0.3"/>
    <row r="478" customFormat="1" ht="14.25" customHeight="1" x14ac:dyDescent="0.3"/>
    <row r="479" customFormat="1" ht="14.25" customHeight="1" x14ac:dyDescent="0.3"/>
    <row r="480" customFormat="1" ht="14.25" customHeight="1" x14ac:dyDescent="0.3"/>
    <row r="481" customFormat="1" ht="14.25" customHeight="1" x14ac:dyDescent="0.3"/>
    <row r="482" customFormat="1" ht="14.25" customHeight="1" x14ac:dyDescent="0.3"/>
    <row r="483" customFormat="1" ht="14.25" customHeight="1" x14ac:dyDescent="0.3"/>
    <row r="484" customFormat="1" ht="14.25" customHeight="1" x14ac:dyDescent="0.3"/>
    <row r="485" customFormat="1" ht="14.25" customHeight="1" x14ac:dyDescent="0.3"/>
    <row r="486" customFormat="1" ht="14.25" customHeight="1" x14ac:dyDescent="0.3"/>
    <row r="487" customFormat="1" ht="14.25" customHeight="1" x14ac:dyDescent="0.3"/>
    <row r="488" customFormat="1" ht="14.25" customHeight="1" x14ac:dyDescent="0.3"/>
    <row r="489" customFormat="1" ht="14.25" customHeight="1" x14ac:dyDescent="0.3"/>
    <row r="490" customFormat="1" ht="14.25" customHeight="1" x14ac:dyDescent="0.3"/>
    <row r="491" customFormat="1" ht="14.25" customHeight="1" x14ac:dyDescent="0.3"/>
    <row r="492" customFormat="1" ht="14.25" customHeight="1" x14ac:dyDescent="0.3"/>
    <row r="493" customFormat="1" ht="14.25" customHeight="1" x14ac:dyDescent="0.3"/>
    <row r="494" customFormat="1" ht="14.25" customHeight="1" x14ac:dyDescent="0.3"/>
    <row r="495" customFormat="1" ht="14.25" customHeight="1" x14ac:dyDescent="0.3"/>
    <row r="496" customFormat="1" ht="14.25" customHeight="1" x14ac:dyDescent="0.3"/>
    <row r="497" customFormat="1" ht="14.25" customHeight="1" x14ac:dyDescent="0.3"/>
    <row r="498" customFormat="1" ht="14.25" customHeight="1" x14ac:dyDescent="0.3"/>
    <row r="499" customFormat="1" ht="14.25" customHeight="1" x14ac:dyDescent="0.3"/>
    <row r="500" customFormat="1" ht="14.25" customHeight="1" x14ac:dyDescent="0.3"/>
    <row r="501" customFormat="1" ht="14.25" customHeight="1" x14ac:dyDescent="0.3"/>
    <row r="502" customFormat="1" ht="14.25" customHeight="1" x14ac:dyDescent="0.3"/>
    <row r="503" customFormat="1" ht="14.25" customHeight="1" x14ac:dyDescent="0.3"/>
    <row r="504" customFormat="1" ht="14.25" customHeight="1" x14ac:dyDescent="0.3"/>
    <row r="505" customFormat="1" ht="14.25" customHeight="1" x14ac:dyDescent="0.3"/>
    <row r="506" customFormat="1" ht="14.25" customHeight="1" x14ac:dyDescent="0.3"/>
    <row r="507" customFormat="1" ht="14.25" customHeight="1" x14ac:dyDescent="0.3"/>
    <row r="508" customFormat="1" ht="14.25" customHeight="1" x14ac:dyDescent="0.3"/>
    <row r="509" customFormat="1" ht="14.25" customHeight="1" x14ac:dyDescent="0.3"/>
    <row r="510" customFormat="1" ht="14.25" customHeight="1" x14ac:dyDescent="0.3"/>
    <row r="511" customFormat="1" ht="14.25" customHeight="1" x14ac:dyDescent="0.3"/>
    <row r="512" customFormat="1" ht="14.25" customHeight="1" x14ac:dyDescent="0.3"/>
    <row r="513" customFormat="1" ht="14.25" customHeight="1" x14ac:dyDescent="0.3"/>
    <row r="514" customFormat="1" ht="14.25" customHeight="1" x14ac:dyDescent="0.3"/>
    <row r="515" customFormat="1" ht="14.25" customHeight="1" x14ac:dyDescent="0.3"/>
    <row r="516" customFormat="1" ht="14.25" customHeight="1" x14ac:dyDescent="0.3"/>
    <row r="517" customFormat="1" ht="14.25" customHeight="1" x14ac:dyDescent="0.3"/>
    <row r="518" customFormat="1" ht="14.25" customHeight="1" x14ac:dyDescent="0.3"/>
    <row r="519" customFormat="1" ht="14.25" customHeight="1" x14ac:dyDescent="0.3"/>
    <row r="520" customFormat="1" ht="14.25" customHeight="1" x14ac:dyDescent="0.3"/>
    <row r="521" customFormat="1" ht="14.25" customHeight="1" x14ac:dyDescent="0.3"/>
    <row r="522" customFormat="1" ht="14.25" customHeight="1" x14ac:dyDescent="0.3"/>
    <row r="523" customFormat="1" ht="14.25" customHeight="1" x14ac:dyDescent="0.3"/>
    <row r="524" customFormat="1" ht="14.25" customHeight="1" x14ac:dyDescent="0.3"/>
    <row r="525" customFormat="1" ht="14.25" customHeight="1" x14ac:dyDescent="0.3"/>
    <row r="526" customFormat="1" ht="14.25" customHeight="1" x14ac:dyDescent="0.3"/>
    <row r="527" customFormat="1" ht="14.25" customHeight="1" x14ac:dyDescent="0.3"/>
    <row r="528" customFormat="1" ht="14.25" customHeight="1" x14ac:dyDescent="0.3"/>
    <row r="529" customFormat="1" ht="14.25" customHeight="1" x14ac:dyDescent="0.3"/>
    <row r="530" customFormat="1" ht="14.25" customHeight="1" x14ac:dyDescent="0.3"/>
    <row r="531" customFormat="1" ht="14.25" customHeight="1" x14ac:dyDescent="0.3"/>
    <row r="532" customFormat="1" ht="14.25" customHeight="1" x14ac:dyDescent="0.3"/>
    <row r="533" customFormat="1" ht="14.25" customHeight="1" x14ac:dyDescent="0.3"/>
    <row r="534" customFormat="1" ht="14.25" customHeight="1" x14ac:dyDescent="0.3"/>
    <row r="535" customFormat="1" ht="14.25" customHeight="1" x14ac:dyDescent="0.3"/>
    <row r="536" customFormat="1" ht="14.25" customHeight="1" x14ac:dyDescent="0.3"/>
    <row r="537" customFormat="1" ht="14.25" customHeight="1" x14ac:dyDescent="0.3"/>
    <row r="538" customFormat="1" ht="14.25" customHeight="1" x14ac:dyDescent="0.3"/>
    <row r="539" customFormat="1" ht="14.25" customHeight="1" x14ac:dyDescent="0.3"/>
    <row r="540" customFormat="1" ht="14.25" customHeight="1" x14ac:dyDescent="0.3"/>
    <row r="541" customFormat="1" ht="14.25" customHeight="1" x14ac:dyDescent="0.3"/>
    <row r="542" customFormat="1" ht="14.25" customHeight="1" x14ac:dyDescent="0.3"/>
    <row r="543" customFormat="1" ht="14.25" customHeight="1" x14ac:dyDescent="0.3"/>
    <row r="544" customFormat="1" ht="14.25" customHeight="1" x14ac:dyDescent="0.3"/>
    <row r="545" customFormat="1" ht="14.25" customHeight="1" x14ac:dyDescent="0.3"/>
    <row r="546" customFormat="1" ht="14.25" customHeight="1" x14ac:dyDescent="0.3"/>
    <row r="547" customFormat="1" ht="14.25" customHeight="1" x14ac:dyDescent="0.3"/>
    <row r="548" customFormat="1" ht="14.25" customHeight="1" x14ac:dyDescent="0.3"/>
    <row r="549" customFormat="1" ht="14.25" customHeight="1" x14ac:dyDescent="0.3"/>
    <row r="550" customFormat="1" ht="14.25" customHeight="1" x14ac:dyDescent="0.3"/>
    <row r="551" customFormat="1" ht="14.25" customHeight="1" x14ac:dyDescent="0.3"/>
    <row r="552" customFormat="1" ht="14.25" customHeight="1" x14ac:dyDescent="0.3"/>
    <row r="553" customFormat="1" ht="14.25" customHeight="1" x14ac:dyDescent="0.3"/>
    <row r="554" customFormat="1" ht="14.25" customHeight="1" x14ac:dyDescent="0.3"/>
    <row r="555" customFormat="1" ht="14.25" customHeight="1" x14ac:dyDescent="0.3"/>
    <row r="556" customFormat="1" ht="14.25" customHeight="1" x14ac:dyDescent="0.3"/>
    <row r="557" customFormat="1" ht="14.25" customHeight="1" x14ac:dyDescent="0.3"/>
    <row r="558" customFormat="1" ht="14.25" customHeight="1" x14ac:dyDescent="0.3"/>
    <row r="559" customFormat="1" ht="14.25" customHeight="1" x14ac:dyDescent="0.3"/>
    <row r="560" customFormat="1" ht="14.25" customHeight="1" x14ac:dyDescent="0.3"/>
    <row r="561" customFormat="1" ht="14.25" customHeight="1" x14ac:dyDescent="0.3"/>
    <row r="562" customFormat="1" ht="14.25" customHeight="1" x14ac:dyDescent="0.3"/>
    <row r="563" customFormat="1" ht="14.25" customHeight="1" x14ac:dyDescent="0.3"/>
    <row r="564" customFormat="1" ht="14.25" customHeight="1" x14ac:dyDescent="0.3"/>
    <row r="565" customFormat="1" ht="14.25" customHeight="1" x14ac:dyDescent="0.3"/>
    <row r="566" customFormat="1" ht="14.25" customHeight="1" x14ac:dyDescent="0.3"/>
    <row r="567" customFormat="1" ht="14.25" customHeight="1" x14ac:dyDescent="0.3"/>
    <row r="568" customFormat="1" ht="14.25" customHeight="1" x14ac:dyDescent="0.3"/>
    <row r="569" customFormat="1" ht="14.25" customHeight="1" x14ac:dyDescent="0.3"/>
    <row r="570" customFormat="1" ht="14.25" customHeight="1" x14ac:dyDescent="0.3"/>
    <row r="571" customFormat="1" ht="14.25" customHeight="1" x14ac:dyDescent="0.3"/>
    <row r="572" customFormat="1" ht="14.25" customHeight="1" x14ac:dyDescent="0.3"/>
    <row r="573" customFormat="1" ht="14.25" customHeight="1" x14ac:dyDescent="0.3"/>
    <row r="574" customFormat="1" ht="14.25" customHeight="1" x14ac:dyDescent="0.3"/>
    <row r="575" customFormat="1" ht="14.25" customHeight="1" x14ac:dyDescent="0.3"/>
    <row r="576" customFormat="1" ht="14.25" customHeight="1" x14ac:dyDescent="0.3"/>
    <row r="577" customFormat="1" ht="14.25" customHeight="1" x14ac:dyDescent="0.3"/>
    <row r="578" customFormat="1" ht="14.25" customHeight="1" x14ac:dyDescent="0.3"/>
    <row r="579" customFormat="1" ht="14.25" customHeight="1" x14ac:dyDescent="0.3"/>
    <row r="580" customFormat="1" ht="14.25" customHeight="1" x14ac:dyDescent="0.3"/>
    <row r="581" customFormat="1" ht="14.25" customHeight="1" x14ac:dyDescent="0.3"/>
    <row r="582" customFormat="1" ht="14.25" customHeight="1" x14ac:dyDescent="0.3"/>
    <row r="583" customFormat="1" ht="14.25" customHeight="1" x14ac:dyDescent="0.3"/>
    <row r="584" customFormat="1" ht="14.25" customHeight="1" x14ac:dyDescent="0.3"/>
    <row r="585" customFormat="1" ht="14.25" customHeight="1" x14ac:dyDescent="0.3"/>
    <row r="586" customFormat="1" ht="14.25" customHeight="1" x14ac:dyDescent="0.3"/>
    <row r="587" customFormat="1" ht="14.25" customHeight="1" x14ac:dyDescent="0.3"/>
    <row r="588" customFormat="1" ht="14.25" customHeight="1" x14ac:dyDescent="0.3"/>
    <row r="589" customFormat="1" ht="14.25" customHeight="1" x14ac:dyDescent="0.3"/>
    <row r="590" customFormat="1" ht="14.25" customHeight="1" x14ac:dyDescent="0.3"/>
    <row r="591" customFormat="1" ht="14.25" customHeight="1" x14ac:dyDescent="0.3"/>
    <row r="592" customFormat="1" ht="14.25" customHeight="1" x14ac:dyDescent="0.3"/>
    <row r="593" customFormat="1" ht="14.25" customHeight="1" x14ac:dyDescent="0.3"/>
    <row r="594" customFormat="1" ht="14.25" customHeight="1" x14ac:dyDescent="0.3"/>
    <row r="595" customFormat="1" ht="14.25" customHeight="1" x14ac:dyDescent="0.3"/>
    <row r="596" customFormat="1" ht="14.25" customHeight="1" x14ac:dyDescent="0.3"/>
    <row r="597" customFormat="1" ht="14.25" customHeight="1" x14ac:dyDescent="0.3"/>
    <row r="598" customFormat="1" ht="14.25" customHeight="1" x14ac:dyDescent="0.3"/>
    <row r="599" customFormat="1" ht="14.25" customHeight="1" x14ac:dyDescent="0.3"/>
    <row r="600" customFormat="1" ht="14.25" customHeight="1" x14ac:dyDescent="0.3"/>
    <row r="601" customFormat="1" ht="14.25" customHeight="1" x14ac:dyDescent="0.3"/>
    <row r="602" customFormat="1" ht="14.25" customHeight="1" x14ac:dyDescent="0.3"/>
    <row r="603" customFormat="1" ht="14.25" customHeight="1" x14ac:dyDescent="0.3"/>
    <row r="604" customFormat="1" ht="14.25" customHeight="1" x14ac:dyDescent="0.3"/>
    <row r="605" customFormat="1" ht="14.25" customHeight="1" x14ac:dyDescent="0.3"/>
    <row r="606" customFormat="1" ht="14.25" customHeight="1" x14ac:dyDescent="0.3"/>
    <row r="607" customFormat="1" ht="14.25" customHeight="1" x14ac:dyDescent="0.3"/>
    <row r="608" customFormat="1" ht="14.25" customHeight="1" x14ac:dyDescent="0.3"/>
    <row r="609" customFormat="1" ht="14.25" customHeight="1" x14ac:dyDescent="0.3"/>
    <row r="610" customFormat="1" ht="14.25" customHeight="1" x14ac:dyDescent="0.3"/>
    <row r="611" customFormat="1" ht="14.25" customHeight="1" x14ac:dyDescent="0.3"/>
    <row r="612" customFormat="1" ht="14.25" customHeight="1" x14ac:dyDescent="0.3"/>
    <row r="613" customFormat="1" ht="14.25" customHeight="1" x14ac:dyDescent="0.3"/>
    <row r="614" customFormat="1" ht="14.25" customHeight="1" x14ac:dyDescent="0.3"/>
    <row r="615" customFormat="1" ht="14.25" customHeight="1" x14ac:dyDescent="0.3"/>
    <row r="616" customFormat="1" ht="14.25" customHeight="1" x14ac:dyDescent="0.3"/>
    <row r="617" customFormat="1" ht="14.25" customHeight="1" x14ac:dyDescent="0.3"/>
    <row r="618" customFormat="1" ht="14.25" customHeight="1" x14ac:dyDescent="0.3"/>
    <row r="619" customFormat="1" ht="14.25" customHeight="1" x14ac:dyDescent="0.3"/>
    <row r="620" customFormat="1" ht="14.25" customHeight="1" x14ac:dyDescent="0.3"/>
    <row r="621" customFormat="1" ht="14.25" customHeight="1" x14ac:dyDescent="0.3"/>
    <row r="622" customFormat="1" ht="14.25" customHeight="1" x14ac:dyDescent="0.3"/>
    <row r="623" customFormat="1" ht="14.25" customHeight="1" x14ac:dyDescent="0.3"/>
    <row r="624" customFormat="1" ht="14.25" customHeight="1" x14ac:dyDescent="0.3"/>
    <row r="625" customFormat="1" ht="14.25" customHeight="1" x14ac:dyDescent="0.3"/>
    <row r="626" customFormat="1" ht="14.25" customHeight="1" x14ac:dyDescent="0.3"/>
    <row r="627" customFormat="1" ht="14.25" customHeight="1" x14ac:dyDescent="0.3"/>
    <row r="628" customFormat="1" ht="14.25" customHeight="1" x14ac:dyDescent="0.3"/>
    <row r="629" customFormat="1" ht="14.25" customHeight="1" x14ac:dyDescent="0.3"/>
    <row r="630" customFormat="1" ht="14.25" customHeight="1" x14ac:dyDescent="0.3"/>
    <row r="631" customFormat="1" ht="14.25" customHeight="1" x14ac:dyDescent="0.3"/>
    <row r="632" customFormat="1" ht="14.25" customHeight="1" x14ac:dyDescent="0.3"/>
    <row r="633" customFormat="1" ht="14.25" customHeight="1" x14ac:dyDescent="0.3"/>
    <row r="634" customFormat="1" ht="14.25" customHeight="1" x14ac:dyDescent="0.3"/>
    <row r="635" customFormat="1" ht="14.25" customHeight="1" x14ac:dyDescent="0.3"/>
    <row r="636" customFormat="1" ht="14.25" customHeight="1" x14ac:dyDescent="0.3"/>
    <row r="637" customFormat="1" ht="14.25" customHeight="1" x14ac:dyDescent="0.3"/>
    <row r="638" customFormat="1" ht="14.25" customHeight="1" x14ac:dyDescent="0.3"/>
    <row r="639" customFormat="1" ht="14.25" customHeight="1" x14ac:dyDescent="0.3"/>
    <row r="640" customFormat="1" ht="14.25" customHeight="1" x14ac:dyDescent="0.3"/>
    <row r="641" customFormat="1" ht="14.25" customHeight="1" x14ac:dyDescent="0.3"/>
    <row r="642" customFormat="1" ht="14.25" customHeight="1" x14ac:dyDescent="0.3"/>
    <row r="643" customFormat="1" ht="14.25" customHeight="1" x14ac:dyDescent="0.3"/>
    <row r="644" customFormat="1" ht="14.25" customHeight="1" x14ac:dyDescent="0.3"/>
    <row r="645" customFormat="1" ht="14.25" customHeight="1" x14ac:dyDescent="0.3"/>
    <row r="646" customFormat="1" ht="14.25" customHeight="1" x14ac:dyDescent="0.3"/>
    <row r="647" customFormat="1" ht="14.25" customHeight="1" x14ac:dyDescent="0.3"/>
    <row r="648" customFormat="1" ht="14.25" customHeight="1" x14ac:dyDescent="0.3"/>
    <row r="649" customFormat="1" ht="14.25" customHeight="1" x14ac:dyDescent="0.3"/>
    <row r="650" customFormat="1" ht="14.25" customHeight="1" x14ac:dyDescent="0.3"/>
    <row r="651" customFormat="1" ht="14.25" customHeight="1" x14ac:dyDescent="0.3"/>
    <row r="652" customFormat="1" ht="14.25" customHeight="1" x14ac:dyDescent="0.3"/>
    <row r="653" customFormat="1" ht="14.25" customHeight="1" x14ac:dyDescent="0.3"/>
    <row r="654" customFormat="1" ht="14.25" customHeight="1" x14ac:dyDescent="0.3"/>
    <row r="655" customFormat="1" ht="14.25" customHeight="1" x14ac:dyDescent="0.3"/>
    <row r="656" customFormat="1" ht="14.25" customHeight="1" x14ac:dyDescent="0.3"/>
    <row r="657" customFormat="1" ht="14.25" customHeight="1" x14ac:dyDescent="0.3"/>
    <row r="658" customFormat="1" ht="14.25" customHeight="1" x14ac:dyDescent="0.3"/>
    <row r="659" customFormat="1" ht="14.25" customHeight="1" x14ac:dyDescent="0.3"/>
    <row r="660" customFormat="1" ht="14.25" customHeight="1" x14ac:dyDescent="0.3"/>
    <row r="661" customFormat="1" ht="14.25" customHeight="1" x14ac:dyDescent="0.3"/>
    <row r="662" customFormat="1" ht="14.25" customHeight="1" x14ac:dyDescent="0.3"/>
    <row r="663" customFormat="1" ht="14.25" customHeight="1" x14ac:dyDescent="0.3"/>
    <row r="664" customFormat="1" ht="14.25" customHeight="1" x14ac:dyDescent="0.3"/>
    <row r="665" customFormat="1" ht="14.25" customHeight="1" x14ac:dyDescent="0.3"/>
    <row r="666" customFormat="1" ht="14.25" customHeight="1" x14ac:dyDescent="0.3"/>
    <row r="667" customFormat="1" ht="14.25" customHeight="1" x14ac:dyDescent="0.3"/>
    <row r="668" customFormat="1" ht="14.25" customHeight="1" x14ac:dyDescent="0.3"/>
    <row r="669" customFormat="1" ht="14.25" customHeight="1" x14ac:dyDescent="0.3"/>
    <row r="670" customFormat="1" ht="14.25" customHeight="1" x14ac:dyDescent="0.3"/>
    <row r="671" customFormat="1" ht="14.25" customHeight="1" x14ac:dyDescent="0.3"/>
    <row r="672" customFormat="1" ht="14.25" customHeight="1" x14ac:dyDescent="0.3"/>
    <row r="673" customFormat="1" ht="14.25" customHeight="1" x14ac:dyDescent="0.3"/>
    <row r="674" customFormat="1" ht="14.25" customHeight="1" x14ac:dyDescent="0.3"/>
    <row r="675" customFormat="1" ht="14.25" customHeight="1" x14ac:dyDescent="0.3"/>
    <row r="676" customFormat="1" ht="14.25" customHeight="1" x14ac:dyDescent="0.3"/>
    <row r="677" customFormat="1" ht="14.25" customHeight="1" x14ac:dyDescent="0.3"/>
    <row r="678" customFormat="1" ht="14.25" customHeight="1" x14ac:dyDescent="0.3"/>
    <row r="679" customFormat="1" ht="14.25" customHeight="1" x14ac:dyDescent="0.3"/>
    <row r="680" customFormat="1" ht="14.25" customHeight="1" x14ac:dyDescent="0.3"/>
    <row r="681" customFormat="1" ht="14.25" customHeight="1" x14ac:dyDescent="0.3"/>
    <row r="682" customFormat="1" ht="14.25" customHeight="1" x14ac:dyDescent="0.3"/>
    <row r="683" customFormat="1" ht="14.25" customHeight="1" x14ac:dyDescent="0.3"/>
    <row r="684" customFormat="1" ht="14.25" customHeight="1" x14ac:dyDescent="0.3"/>
    <row r="685" customFormat="1" ht="14.25" customHeight="1" x14ac:dyDescent="0.3"/>
    <row r="686" customFormat="1" ht="14.25" customHeight="1" x14ac:dyDescent="0.3"/>
    <row r="687" customFormat="1" ht="14.25" customHeight="1" x14ac:dyDescent="0.3"/>
    <row r="688" customFormat="1" ht="14.25" customHeight="1" x14ac:dyDescent="0.3"/>
    <row r="689" customFormat="1" ht="14.25" customHeight="1" x14ac:dyDescent="0.3"/>
    <row r="690" customFormat="1" ht="14.25" customHeight="1" x14ac:dyDescent="0.3"/>
    <row r="691" customFormat="1" ht="14.25" customHeight="1" x14ac:dyDescent="0.3"/>
    <row r="692" customFormat="1" ht="14.25" customHeight="1" x14ac:dyDescent="0.3"/>
    <row r="693" customFormat="1" ht="14.25" customHeight="1" x14ac:dyDescent="0.3"/>
    <row r="694" customFormat="1" ht="14.25" customHeight="1" x14ac:dyDescent="0.3"/>
    <row r="695" customFormat="1" ht="14.25" customHeight="1" x14ac:dyDescent="0.3"/>
    <row r="696" customFormat="1" ht="14.25" customHeight="1" x14ac:dyDescent="0.3"/>
    <row r="697" customFormat="1" ht="14.25" customHeight="1" x14ac:dyDescent="0.3"/>
    <row r="698" customFormat="1" ht="14.25" customHeight="1" x14ac:dyDescent="0.3"/>
    <row r="699" customFormat="1" ht="14.25" customHeight="1" x14ac:dyDescent="0.3"/>
    <row r="700" customFormat="1" ht="14.25" customHeight="1" x14ac:dyDescent="0.3"/>
    <row r="701" customFormat="1" ht="14.25" customHeight="1" x14ac:dyDescent="0.3"/>
    <row r="702" customFormat="1" ht="14.25" customHeight="1" x14ac:dyDescent="0.3"/>
    <row r="703" customFormat="1" ht="14.25" customHeight="1" x14ac:dyDescent="0.3"/>
    <row r="704" customFormat="1" ht="14.25" customHeight="1" x14ac:dyDescent="0.3"/>
    <row r="705" customFormat="1" ht="14.25" customHeight="1" x14ac:dyDescent="0.3"/>
    <row r="706" customFormat="1" ht="14.25" customHeight="1" x14ac:dyDescent="0.3"/>
    <row r="707" customFormat="1" ht="14.25" customHeight="1" x14ac:dyDescent="0.3"/>
    <row r="708" customFormat="1" ht="14.25" customHeight="1" x14ac:dyDescent="0.3"/>
    <row r="709" customFormat="1" ht="14.25" customHeight="1" x14ac:dyDescent="0.3"/>
    <row r="710" customFormat="1" ht="14.25" customHeight="1" x14ac:dyDescent="0.3"/>
    <row r="711" customFormat="1" ht="14.25" customHeight="1" x14ac:dyDescent="0.3"/>
    <row r="712" customFormat="1" ht="14.25" customHeight="1" x14ac:dyDescent="0.3"/>
    <row r="713" customFormat="1" ht="14.25" customHeight="1" x14ac:dyDescent="0.3"/>
    <row r="714" customFormat="1" ht="14.25" customHeight="1" x14ac:dyDescent="0.3"/>
    <row r="715" customFormat="1" ht="14.25" customHeight="1" x14ac:dyDescent="0.3"/>
    <row r="716" customFormat="1" ht="14.25" customHeight="1" x14ac:dyDescent="0.3"/>
    <row r="717" customFormat="1" ht="14.25" customHeight="1" x14ac:dyDescent="0.3"/>
    <row r="718" customFormat="1" ht="14.25" customHeight="1" x14ac:dyDescent="0.3"/>
    <row r="719" customFormat="1" ht="14.25" customHeight="1" x14ac:dyDescent="0.3"/>
    <row r="720" customFormat="1" ht="14.25" customHeight="1" x14ac:dyDescent="0.3"/>
    <row r="721" customFormat="1" ht="14.25" customHeight="1" x14ac:dyDescent="0.3"/>
    <row r="722" customFormat="1" ht="14.25" customHeight="1" x14ac:dyDescent="0.3"/>
    <row r="723" customFormat="1" ht="14.25" customHeight="1" x14ac:dyDescent="0.3"/>
    <row r="724" customFormat="1" ht="14.25" customHeight="1" x14ac:dyDescent="0.3"/>
    <row r="725" customFormat="1" ht="14.25" customHeight="1" x14ac:dyDescent="0.3"/>
    <row r="726" customFormat="1" ht="14.25" customHeight="1" x14ac:dyDescent="0.3"/>
    <row r="727" customFormat="1" ht="14.25" customHeight="1" x14ac:dyDescent="0.3"/>
    <row r="728" customFormat="1" ht="14.25" customHeight="1" x14ac:dyDescent="0.3"/>
    <row r="729" customFormat="1" ht="14.25" customHeight="1" x14ac:dyDescent="0.3"/>
    <row r="730" customFormat="1" ht="14.25" customHeight="1" x14ac:dyDescent="0.3"/>
    <row r="731" customFormat="1" ht="14.25" customHeight="1" x14ac:dyDescent="0.3"/>
    <row r="732" customFormat="1" ht="14.25" customHeight="1" x14ac:dyDescent="0.3"/>
    <row r="733" customFormat="1" ht="14.25" customHeight="1" x14ac:dyDescent="0.3"/>
    <row r="734" customFormat="1" ht="14.25" customHeight="1" x14ac:dyDescent="0.3"/>
    <row r="735" customFormat="1" ht="14.25" customHeight="1" x14ac:dyDescent="0.3"/>
    <row r="736" customFormat="1" ht="14.25" customHeight="1" x14ac:dyDescent="0.3"/>
    <row r="737" customFormat="1" ht="14.25" customHeight="1" x14ac:dyDescent="0.3"/>
    <row r="738" customFormat="1" ht="14.25" customHeight="1" x14ac:dyDescent="0.3"/>
    <row r="739" customFormat="1" ht="14.25" customHeight="1" x14ac:dyDescent="0.3"/>
    <row r="740" customFormat="1" ht="14.25" customHeight="1" x14ac:dyDescent="0.3"/>
    <row r="741" customFormat="1" ht="14.25" customHeight="1" x14ac:dyDescent="0.3"/>
    <row r="742" customFormat="1" ht="14.25" customHeight="1" x14ac:dyDescent="0.3"/>
    <row r="743" customFormat="1" ht="14.25" customHeight="1" x14ac:dyDescent="0.3"/>
    <row r="744" customFormat="1" ht="14.25" customHeight="1" x14ac:dyDescent="0.3"/>
    <row r="745" customFormat="1" ht="14.25" customHeight="1" x14ac:dyDescent="0.3"/>
    <row r="746" customFormat="1" ht="14.25" customHeight="1" x14ac:dyDescent="0.3"/>
    <row r="747" customFormat="1" ht="14.25" customHeight="1" x14ac:dyDescent="0.3"/>
    <row r="748" customFormat="1" ht="14.25" customHeight="1" x14ac:dyDescent="0.3"/>
    <row r="749" customFormat="1" ht="14.25" customHeight="1" x14ac:dyDescent="0.3"/>
    <row r="750" customFormat="1" ht="14.25" customHeight="1" x14ac:dyDescent="0.3"/>
    <row r="751" customFormat="1" ht="14.25" customHeight="1" x14ac:dyDescent="0.3"/>
    <row r="752" customFormat="1" ht="14.25" customHeight="1" x14ac:dyDescent="0.3"/>
    <row r="753" customFormat="1" ht="14.25" customHeight="1" x14ac:dyDescent="0.3"/>
    <row r="754" customFormat="1" ht="14.25" customHeight="1" x14ac:dyDescent="0.3"/>
    <row r="755" customFormat="1" ht="14.25" customHeight="1" x14ac:dyDescent="0.3"/>
    <row r="756" customFormat="1" ht="14.25" customHeight="1" x14ac:dyDescent="0.3"/>
    <row r="757" customFormat="1" ht="14.25" customHeight="1" x14ac:dyDescent="0.3"/>
    <row r="758" customFormat="1" ht="14.25" customHeight="1" x14ac:dyDescent="0.3"/>
    <row r="759" customFormat="1" ht="14.25" customHeight="1" x14ac:dyDescent="0.3"/>
    <row r="760" customFormat="1" ht="14.25" customHeight="1" x14ac:dyDescent="0.3"/>
    <row r="761" customFormat="1" ht="14.25" customHeight="1" x14ac:dyDescent="0.3"/>
    <row r="762" customFormat="1" ht="14.25" customHeight="1" x14ac:dyDescent="0.3"/>
    <row r="763" customFormat="1" ht="14.25" customHeight="1" x14ac:dyDescent="0.3"/>
    <row r="764" customFormat="1" ht="14.25" customHeight="1" x14ac:dyDescent="0.3"/>
    <row r="765" customFormat="1" ht="14.25" customHeight="1" x14ac:dyDescent="0.3"/>
    <row r="766" customFormat="1" ht="14.25" customHeight="1" x14ac:dyDescent="0.3"/>
    <row r="767" customFormat="1" ht="14.25" customHeight="1" x14ac:dyDescent="0.3"/>
    <row r="768" customFormat="1" ht="14.25" customHeight="1" x14ac:dyDescent="0.3"/>
    <row r="769" customFormat="1" ht="14.25" customHeight="1" x14ac:dyDescent="0.3"/>
    <row r="770" customFormat="1" ht="14.25" customHeight="1" x14ac:dyDescent="0.3"/>
    <row r="771" customFormat="1" ht="14.25" customHeight="1" x14ac:dyDescent="0.3"/>
    <row r="772" customFormat="1" ht="14.25" customHeight="1" x14ac:dyDescent="0.3"/>
    <row r="773" customFormat="1" ht="14.25" customHeight="1" x14ac:dyDescent="0.3"/>
    <row r="774" customFormat="1" ht="14.25" customHeight="1" x14ac:dyDescent="0.3"/>
    <row r="775" customFormat="1" ht="14.25" customHeight="1" x14ac:dyDescent="0.3"/>
    <row r="776" customFormat="1" ht="14.25" customHeight="1" x14ac:dyDescent="0.3"/>
    <row r="777" customFormat="1" ht="14.25" customHeight="1" x14ac:dyDescent="0.3"/>
    <row r="778" customFormat="1" ht="14.25" customHeight="1" x14ac:dyDescent="0.3"/>
    <row r="779" customFormat="1" ht="14.25" customHeight="1" x14ac:dyDescent="0.3"/>
    <row r="780" customFormat="1" ht="14.25" customHeight="1" x14ac:dyDescent="0.3"/>
    <row r="781" customFormat="1" ht="14.25" customHeight="1" x14ac:dyDescent="0.3"/>
    <row r="782" customFormat="1" ht="14.25" customHeight="1" x14ac:dyDescent="0.3"/>
    <row r="783" customFormat="1" ht="14.25" customHeight="1" x14ac:dyDescent="0.3"/>
    <row r="784" customFormat="1" ht="14.25" customHeight="1" x14ac:dyDescent="0.3"/>
    <row r="785" customFormat="1" ht="14.25" customHeight="1" x14ac:dyDescent="0.3"/>
    <row r="786" customFormat="1" ht="14.25" customHeight="1" x14ac:dyDescent="0.3"/>
    <row r="787" customFormat="1" ht="14.25" customHeight="1" x14ac:dyDescent="0.3"/>
    <row r="788" customFormat="1" ht="14.25" customHeight="1" x14ac:dyDescent="0.3"/>
    <row r="789" customFormat="1" ht="14.25" customHeight="1" x14ac:dyDescent="0.3"/>
    <row r="790" customFormat="1" ht="14.25" customHeight="1" x14ac:dyDescent="0.3"/>
    <row r="791" customFormat="1" ht="14.25" customHeight="1" x14ac:dyDescent="0.3"/>
    <row r="792" customFormat="1" ht="14.25" customHeight="1" x14ac:dyDescent="0.3"/>
    <row r="793" customFormat="1" ht="14.25" customHeight="1" x14ac:dyDescent="0.3"/>
    <row r="794" customFormat="1" ht="14.25" customHeight="1" x14ac:dyDescent="0.3"/>
    <row r="795" customFormat="1" ht="14.25" customHeight="1" x14ac:dyDescent="0.3"/>
    <row r="796" customFormat="1" ht="14.25" customHeight="1" x14ac:dyDescent="0.3"/>
    <row r="797" customFormat="1" ht="14.25" customHeight="1" x14ac:dyDescent="0.3"/>
    <row r="798" customFormat="1" ht="14.25" customHeight="1" x14ac:dyDescent="0.3"/>
    <row r="799" customFormat="1" ht="14.25" customHeight="1" x14ac:dyDescent="0.3"/>
    <row r="800" customFormat="1" ht="14.25" customHeight="1" x14ac:dyDescent="0.3"/>
    <row r="801" customFormat="1" ht="14.25" customHeight="1" x14ac:dyDescent="0.3"/>
    <row r="802" customFormat="1" ht="14.25" customHeight="1" x14ac:dyDescent="0.3"/>
    <row r="803" customFormat="1" ht="14.25" customHeight="1" x14ac:dyDescent="0.3"/>
    <row r="804" customFormat="1" ht="14.25" customHeight="1" x14ac:dyDescent="0.3"/>
    <row r="805" customFormat="1" ht="14.25" customHeight="1" x14ac:dyDescent="0.3"/>
    <row r="806" customFormat="1" ht="14.25" customHeight="1" x14ac:dyDescent="0.3"/>
    <row r="807" customFormat="1" ht="14.25" customHeight="1" x14ac:dyDescent="0.3"/>
    <row r="808" customFormat="1" ht="14.25" customHeight="1" x14ac:dyDescent="0.3"/>
    <row r="809" customFormat="1" ht="14.25" customHeight="1" x14ac:dyDescent="0.3"/>
    <row r="810" customFormat="1" ht="14.25" customHeight="1" x14ac:dyDescent="0.3"/>
    <row r="811" customFormat="1" ht="14.25" customHeight="1" x14ac:dyDescent="0.3"/>
    <row r="812" customFormat="1" ht="14.25" customHeight="1" x14ac:dyDescent="0.3"/>
    <row r="813" customFormat="1" ht="14.25" customHeight="1" x14ac:dyDescent="0.3"/>
    <row r="814" customFormat="1" ht="14.25" customHeight="1" x14ac:dyDescent="0.3"/>
    <row r="815" customFormat="1" ht="14.25" customHeight="1" x14ac:dyDescent="0.3"/>
    <row r="816" customFormat="1" ht="14.25" customHeight="1" x14ac:dyDescent="0.3"/>
    <row r="817" customFormat="1" ht="14.25" customHeight="1" x14ac:dyDescent="0.3"/>
    <row r="818" customFormat="1" ht="14.25" customHeight="1" x14ac:dyDescent="0.3"/>
    <row r="819" customFormat="1" ht="14.25" customHeight="1" x14ac:dyDescent="0.3"/>
    <row r="820" customFormat="1" ht="14.25" customHeight="1" x14ac:dyDescent="0.3"/>
    <row r="821" customFormat="1" ht="14.25" customHeight="1" x14ac:dyDescent="0.3"/>
    <row r="822" customFormat="1" ht="14.25" customHeight="1" x14ac:dyDescent="0.3"/>
    <row r="823" customFormat="1" ht="14.25" customHeight="1" x14ac:dyDescent="0.3"/>
    <row r="824" customFormat="1" ht="14.25" customHeight="1" x14ac:dyDescent="0.3"/>
    <row r="825" customFormat="1" ht="14.25" customHeight="1" x14ac:dyDescent="0.3"/>
    <row r="826" customFormat="1" ht="14.25" customHeight="1" x14ac:dyDescent="0.3"/>
    <row r="827" customFormat="1" ht="14.25" customHeight="1" x14ac:dyDescent="0.3"/>
    <row r="828" customFormat="1" ht="14.25" customHeight="1" x14ac:dyDescent="0.3"/>
    <row r="829" customFormat="1" ht="14.25" customHeight="1" x14ac:dyDescent="0.3"/>
    <row r="830" customFormat="1" ht="14.25" customHeight="1" x14ac:dyDescent="0.3"/>
    <row r="831" customFormat="1" ht="14.25" customHeight="1" x14ac:dyDescent="0.3"/>
    <row r="832" customFormat="1" ht="14.25" customHeight="1" x14ac:dyDescent="0.3"/>
    <row r="833" customFormat="1" ht="14.25" customHeight="1" x14ac:dyDescent="0.3"/>
    <row r="834" customFormat="1" ht="14.25" customHeight="1" x14ac:dyDescent="0.3"/>
    <row r="835" customFormat="1" ht="14.25" customHeight="1" x14ac:dyDescent="0.3"/>
    <row r="836" customFormat="1" ht="14.25" customHeight="1" x14ac:dyDescent="0.3"/>
    <row r="837" customFormat="1" ht="14.25" customHeight="1" x14ac:dyDescent="0.3"/>
    <row r="838" customFormat="1" ht="14.25" customHeight="1" x14ac:dyDescent="0.3"/>
    <row r="839" customFormat="1" ht="14.25" customHeight="1" x14ac:dyDescent="0.3"/>
    <row r="840" customFormat="1" ht="14.25" customHeight="1" x14ac:dyDescent="0.3"/>
    <row r="841" customFormat="1" ht="14.25" customHeight="1" x14ac:dyDescent="0.3"/>
    <row r="842" customFormat="1" ht="14.25" customHeight="1" x14ac:dyDescent="0.3"/>
    <row r="843" customFormat="1" ht="14.25" customHeight="1" x14ac:dyDescent="0.3"/>
    <row r="844" customFormat="1" ht="14.25" customHeight="1" x14ac:dyDescent="0.3"/>
    <row r="845" customFormat="1" ht="14.25" customHeight="1" x14ac:dyDescent="0.3"/>
    <row r="846" customFormat="1" ht="14.25" customHeight="1" x14ac:dyDescent="0.3"/>
    <row r="847" customFormat="1" ht="14.25" customHeight="1" x14ac:dyDescent="0.3"/>
    <row r="848" customFormat="1" ht="14.25" customHeight="1" x14ac:dyDescent="0.3"/>
    <row r="849" customFormat="1" ht="14.25" customHeight="1" x14ac:dyDescent="0.3"/>
    <row r="850" customFormat="1" ht="14.25" customHeight="1" x14ac:dyDescent="0.3"/>
    <row r="851" customFormat="1" ht="14.25" customHeight="1" x14ac:dyDescent="0.3"/>
    <row r="852" customFormat="1" ht="14.25" customHeight="1" x14ac:dyDescent="0.3"/>
    <row r="853" customFormat="1" ht="14.25" customHeight="1" x14ac:dyDescent="0.3"/>
    <row r="854" customFormat="1" ht="14.25" customHeight="1" x14ac:dyDescent="0.3"/>
    <row r="855" customFormat="1" ht="14.25" customHeight="1" x14ac:dyDescent="0.3"/>
    <row r="856" customFormat="1" ht="14.25" customHeight="1" x14ac:dyDescent="0.3"/>
    <row r="857" customFormat="1" ht="14.25" customHeight="1" x14ac:dyDescent="0.3"/>
    <row r="858" customFormat="1" ht="14.25" customHeight="1" x14ac:dyDescent="0.3"/>
    <row r="859" customFormat="1" ht="14.25" customHeight="1" x14ac:dyDescent="0.3"/>
    <row r="860" customFormat="1" ht="14.25" customHeight="1" x14ac:dyDescent="0.3"/>
    <row r="861" customFormat="1" ht="14.25" customHeight="1" x14ac:dyDescent="0.3"/>
    <row r="862" customFormat="1" ht="14.25" customHeight="1" x14ac:dyDescent="0.3"/>
    <row r="863" customFormat="1" ht="14.25" customHeight="1" x14ac:dyDescent="0.3"/>
    <row r="864" customFormat="1" ht="14.25" customHeight="1" x14ac:dyDescent="0.3"/>
    <row r="865" customFormat="1" ht="14.25" customHeight="1" x14ac:dyDescent="0.3"/>
    <row r="866" customFormat="1" ht="14.25" customHeight="1" x14ac:dyDescent="0.3"/>
    <row r="867" customFormat="1" ht="14.25" customHeight="1" x14ac:dyDescent="0.3"/>
    <row r="868" customFormat="1" ht="14.25" customHeight="1" x14ac:dyDescent="0.3"/>
    <row r="869" customFormat="1" ht="14.25" customHeight="1" x14ac:dyDescent="0.3"/>
    <row r="870" customFormat="1" ht="14.25" customHeight="1" x14ac:dyDescent="0.3"/>
    <row r="871" customFormat="1" ht="14.25" customHeight="1" x14ac:dyDescent="0.3"/>
    <row r="872" customFormat="1" ht="14.25" customHeight="1" x14ac:dyDescent="0.3"/>
    <row r="873" customFormat="1" ht="14.25" customHeight="1" x14ac:dyDescent="0.3"/>
    <row r="874" customFormat="1" ht="14.25" customHeight="1" x14ac:dyDescent="0.3"/>
    <row r="875" customFormat="1" ht="14.25" customHeight="1" x14ac:dyDescent="0.3"/>
    <row r="876" customFormat="1" ht="14.25" customHeight="1" x14ac:dyDescent="0.3"/>
    <row r="877" customFormat="1" ht="14.25" customHeight="1" x14ac:dyDescent="0.3"/>
    <row r="878" customFormat="1" ht="14.25" customHeight="1" x14ac:dyDescent="0.3"/>
    <row r="879" customFormat="1" ht="14.25" customHeight="1" x14ac:dyDescent="0.3"/>
    <row r="880" customFormat="1" ht="14.25" customHeight="1" x14ac:dyDescent="0.3"/>
    <row r="881" customFormat="1" ht="14.25" customHeight="1" x14ac:dyDescent="0.3"/>
    <row r="882" customFormat="1" ht="14.25" customHeight="1" x14ac:dyDescent="0.3"/>
    <row r="883" customFormat="1" ht="14.25" customHeight="1" x14ac:dyDescent="0.3"/>
    <row r="884" customFormat="1" ht="14.25" customHeight="1" x14ac:dyDescent="0.3"/>
    <row r="885" customFormat="1" ht="14.25" customHeight="1" x14ac:dyDescent="0.3"/>
    <row r="886" customFormat="1" ht="14.25" customHeight="1" x14ac:dyDescent="0.3"/>
    <row r="887" customFormat="1" ht="14.25" customHeight="1" x14ac:dyDescent="0.3"/>
    <row r="888" customFormat="1" ht="14.25" customHeight="1" x14ac:dyDescent="0.3"/>
    <row r="889" customFormat="1" ht="14.25" customHeight="1" x14ac:dyDescent="0.3"/>
    <row r="890" customFormat="1" ht="14.25" customHeight="1" x14ac:dyDescent="0.3"/>
    <row r="891" customFormat="1" ht="14.25" customHeight="1" x14ac:dyDescent="0.3"/>
    <row r="892" customFormat="1" ht="14.25" customHeight="1" x14ac:dyDescent="0.3"/>
    <row r="893" customFormat="1" ht="14.25" customHeight="1" x14ac:dyDescent="0.3"/>
    <row r="894" customFormat="1" ht="14.25" customHeight="1" x14ac:dyDescent="0.3"/>
    <row r="895" customFormat="1" ht="14.25" customHeight="1" x14ac:dyDescent="0.3"/>
    <row r="896" customFormat="1" ht="14.25" customHeight="1" x14ac:dyDescent="0.3"/>
    <row r="897" customFormat="1" ht="14.25" customHeight="1" x14ac:dyDescent="0.3"/>
    <row r="898" customFormat="1" ht="14.25" customHeight="1" x14ac:dyDescent="0.3"/>
    <row r="899" customFormat="1" ht="14.25" customHeight="1" x14ac:dyDescent="0.3"/>
    <row r="900" customFormat="1" ht="14.25" customHeight="1" x14ac:dyDescent="0.3"/>
    <row r="901" customFormat="1" ht="14.25" customHeight="1" x14ac:dyDescent="0.3"/>
    <row r="902" customFormat="1" ht="14.25" customHeight="1" x14ac:dyDescent="0.3"/>
    <row r="903" customFormat="1" ht="14.25" customHeight="1" x14ac:dyDescent="0.3"/>
    <row r="904" customFormat="1" ht="14.25" customHeight="1" x14ac:dyDescent="0.3"/>
    <row r="905" customFormat="1" ht="14.25" customHeight="1" x14ac:dyDescent="0.3"/>
    <row r="906" customFormat="1" ht="14.25" customHeight="1" x14ac:dyDescent="0.3"/>
    <row r="907" customFormat="1" ht="14.25" customHeight="1" x14ac:dyDescent="0.3"/>
    <row r="908" customFormat="1" ht="14.25" customHeight="1" x14ac:dyDescent="0.3"/>
    <row r="909" customFormat="1" ht="14.25" customHeight="1" x14ac:dyDescent="0.3"/>
    <row r="910" customFormat="1" ht="14.25" customHeight="1" x14ac:dyDescent="0.3"/>
    <row r="911" customFormat="1" ht="14.25" customHeight="1" x14ac:dyDescent="0.3"/>
    <row r="912" customFormat="1" ht="14.25" customHeight="1" x14ac:dyDescent="0.3"/>
    <row r="913" customFormat="1" ht="14.25" customHeight="1" x14ac:dyDescent="0.3"/>
    <row r="914" customFormat="1" ht="14.25" customHeight="1" x14ac:dyDescent="0.3"/>
    <row r="915" customFormat="1" ht="14.25" customHeight="1" x14ac:dyDescent="0.3"/>
    <row r="916" customFormat="1" ht="14.25" customHeight="1" x14ac:dyDescent="0.3"/>
    <row r="917" customFormat="1" ht="14.25" customHeight="1" x14ac:dyDescent="0.3"/>
    <row r="918" customFormat="1" ht="14.25" customHeight="1" x14ac:dyDescent="0.3"/>
    <row r="919" customFormat="1" ht="14.25" customHeight="1" x14ac:dyDescent="0.3"/>
    <row r="920" customFormat="1" ht="14.25" customHeight="1" x14ac:dyDescent="0.3"/>
    <row r="921" customFormat="1" ht="14.25" customHeight="1" x14ac:dyDescent="0.3"/>
    <row r="922" customFormat="1" ht="14.25" customHeight="1" x14ac:dyDescent="0.3"/>
    <row r="923" customFormat="1" ht="14.25" customHeight="1" x14ac:dyDescent="0.3"/>
    <row r="924" customFormat="1" ht="14.25" customHeight="1" x14ac:dyDescent="0.3"/>
    <row r="925" customFormat="1" ht="14.25" customHeight="1" x14ac:dyDescent="0.3"/>
    <row r="926" customFormat="1" ht="14.25" customHeight="1" x14ac:dyDescent="0.3"/>
    <row r="927" customFormat="1" ht="14.25" customHeight="1" x14ac:dyDescent="0.3"/>
    <row r="928" customFormat="1" ht="14.25" customHeight="1" x14ac:dyDescent="0.3"/>
    <row r="929" customFormat="1" ht="14.25" customHeight="1" x14ac:dyDescent="0.3"/>
    <row r="930" customFormat="1" ht="14.25" customHeight="1" x14ac:dyDescent="0.3"/>
    <row r="931" customFormat="1" ht="14.25" customHeight="1" x14ac:dyDescent="0.3"/>
    <row r="932" customFormat="1" ht="14.25" customHeight="1" x14ac:dyDescent="0.3"/>
    <row r="933" customFormat="1" ht="14.25" customHeight="1" x14ac:dyDescent="0.3"/>
    <row r="934" customFormat="1" ht="14.25" customHeight="1" x14ac:dyDescent="0.3"/>
    <row r="935" customFormat="1" ht="14.25" customHeight="1" x14ac:dyDescent="0.3"/>
    <row r="936" customFormat="1" ht="14.25" customHeight="1" x14ac:dyDescent="0.3"/>
    <row r="937" customFormat="1" ht="14.25" customHeight="1" x14ac:dyDescent="0.3"/>
    <row r="938" customFormat="1" ht="14.25" customHeight="1" x14ac:dyDescent="0.3"/>
    <row r="939" customFormat="1" ht="14.25" customHeight="1" x14ac:dyDescent="0.3"/>
    <row r="940" customFormat="1" ht="14.25" customHeight="1" x14ac:dyDescent="0.3"/>
    <row r="941" customFormat="1" ht="14.25" customHeight="1" x14ac:dyDescent="0.3"/>
    <row r="942" customFormat="1" ht="14.25" customHeight="1" x14ac:dyDescent="0.3"/>
    <row r="943" customFormat="1" ht="14.25" customHeight="1" x14ac:dyDescent="0.3"/>
    <row r="944" customFormat="1" ht="14.25" customHeight="1" x14ac:dyDescent="0.3"/>
    <row r="945" customFormat="1" ht="14.25" customHeight="1" x14ac:dyDescent="0.3"/>
    <row r="946" customFormat="1" ht="14.25" customHeight="1" x14ac:dyDescent="0.3"/>
    <row r="947" customFormat="1" ht="14.25" customHeight="1" x14ac:dyDescent="0.3"/>
    <row r="948" customFormat="1" ht="14.25" customHeight="1" x14ac:dyDescent="0.3"/>
    <row r="949" customFormat="1" ht="14.25" customHeight="1" x14ac:dyDescent="0.3"/>
    <row r="950" customFormat="1" ht="14.25" customHeight="1" x14ac:dyDescent="0.3"/>
    <row r="951" customFormat="1" ht="14.25" customHeight="1" x14ac:dyDescent="0.3"/>
    <row r="952" customFormat="1" ht="14.25" customHeight="1" x14ac:dyDescent="0.3"/>
    <row r="953" customFormat="1" ht="14.25" customHeight="1" x14ac:dyDescent="0.3"/>
    <row r="954" customFormat="1" ht="14.25" customHeight="1" x14ac:dyDescent="0.3"/>
    <row r="955" customFormat="1" ht="14.25" customHeight="1" x14ac:dyDescent="0.3"/>
    <row r="956" customFormat="1" ht="14.25" customHeight="1" x14ac:dyDescent="0.3"/>
    <row r="957" customFormat="1" ht="14.25" customHeight="1" x14ac:dyDescent="0.3"/>
    <row r="958" customFormat="1" ht="14.25" customHeight="1" x14ac:dyDescent="0.3"/>
    <row r="959" customFormat="1" ht="14.25" customHeight="1" x14ac:dyDescent="0.3"/>
    <row r="960" customFormat="1" ht="14.25" customHeight="1" x14ac:dyDescent="0.3"/>
    <row r="961" customFormat="1" ht="14.25" customHeight="1" x14ac:dyDescent="0.3"/>
    <row r="962" customFormat="1" ht="14.25" customHeight="1" x14ac:dyDescent="0.3"/>
    <row r="963" customFormat="1" ht="14.25" customHeight="1" x14ac:dyDescent="0.3"/>
    <row r="964" customFormat="1" ht="14.25" customHeight="1" x14ac:dyDescent="0.3"/>
    <row r="965" customFormat="1" ht="14.25" customHeight="1" x14ac:dyDescent="0.3"/>
    <row r="966" customFormat="1" ht="14.25" customHeight="1" x14ac:dyDescent="0.3"/>
    <row r="967" customFormat="1" ht="14.25" customHeight="1" x14ac:dyDescent="0.3"/>
    <row r="968" customFormat="1" ht="14.25" customHeight="1" x14ac:dyDescent="0.3"/>
    <row r="969" customFormat="1" ht="14.25" customHeight="1" x14ac:dyDescent="0.3"/>
    <row r="970" customFormat="1" ht="14.25" customHeight="1" x14ac:dyDescent="0.3"/>
    <row r="971" customFormat="1" ht="14.25" customHeight="1" x14ac:dyDescent="0.3"/>
    <row r="972" customFormat="1" ht="14.25" customHeight="1" x14ac:dyDescent="0.3"/>
    <row r="973" customFormat="1" ht="14.25" customHeight="1" x14ac:dyDescent="0.3"/>
    <row r="974" customFormat="1" ht="14.25" customHeight="1" x14ac:dyDescent="0.3"/>
    <row r="975" customFormat="1" ht="14.25" customHeight="1" x14ac:dyDescent="0.3"/>
    <row r="976" customFormat="1" ht="14.25" customHeight="1" x14ac:dyDescent="0.3"/>
    <row r="977" customFormat="1" ht="14.25" customHeight="1" x14ac:dyDescent="0.3"/>
    <row r="978" customFormat="1" ht="14.25" customHeight="1" x14ac:dyDescent="0.3"/>
    <row r="979" customFormat="1" ht="14.25" customHeight="1" x14ac:dyDescent="0.3"/>
    <row r="980" customFormat="1" ht="14.25" customHeight="1" x14ac:dyDescent="0.3"/>
    <row r="981" customFormat="1" ht="14.25" customHeight="1" x14ac:dyDescent="0.3"/>
    <row r="982" customFormat="1" ht="14.25" customHeight="1" x14ac:dyDescent="0.3"/>
    <row r="983" customFormat="1" ht="14.25" customHeight="1" x14ac:dyDescent="0.3"/>
    <row r="984" customFormat="1" ht="14.25" customHeight="1" x14ac:dyDescent="0.3"/>
    <row r="985" customFormat="1" ht="14.25" customHeight="1" x14ac:dyDescent="0.3"/>
    <row r="986" customFormat="1" ht="14.25" customHeight="1" x14ac:dyDescent="0.3"/>
    <row r="987" customFormat="1" ht="14.25" customHeight="1" x14ac:dyDescent="0.3"/>
    <row r="988" customFormat="1" ht="14.25" customHeight="1" x14ac:dyDescent="0.3"/>
    <row r="989" customFormat="1" ht="14.25" customHeight="1" x14ac:dyDescent="0.3"/>
    <row r="990" customFormat="1" ht="14.25" customHeight="1" x14ac:dyDescent="0.3"/>
    <row r="991" customFormat="1" ht="14.25" customHeight="1" x14ac:dyDescent="0.3"/>
    <row r="992" customFormat="1" ht="14.25" customHeight="1" x14ac:dyDescent="0.3"/>
    <row r="993" customFormat="1" ht="14.25" customHeight="1" x14ac:dyDescent="0.3"/>
    <row r="994" customFormat="1" ht="14.25" customHeight="1" x14ac:dyDescent="0.3"/>
    <row r="995" customFormat="1" ht="14.25" customHeight="1" x14ac:dyDescent="0.3"/>
    <row r="996" customFormat="1" ht="14.25" customHeight="1" x14ac:dyDescent="0.3"/>
    <row r="997" customFormat="1" ht="14.25" customHeight="1" x14ac:dyDescent="0.3"/>
    <row r="998" customFormat="1" ht="14.25" customHeight="1" x14ac:dyDescent="0.3"/>
    <row r="999" customFormat="1" ht="14.25" customHeight="1" x14ac:dyDescent="0.3"/>
    <row r="1000" customFormat="1" ht="14.25" customHeight="1" x14ac:dyDescent="0.3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3ED29-8AF2-4ABB-BBB3-024C4B902367}">
  <dimension ref="C2:L83"/>
  <sheetViews>
    <sheetView tabSelected="1" zoomScale="79" workbookViewId="0">
      <selection activeCell="Q20" sqref="Q20"/>
    </sheetView>
  </sheetViews>
  <sheetFormatPr defaultRowHeight="14.4" x14ac:dyDescent="0.3"/>
  <cols>
    <col min="4" max="4" width="14.21875" customWidth="1"/>
    <col min="5" max="5" width="18" bestFit="1" customWidth="1"/>
    <col min="6" max="6" width="11" customWidth="1"/>
    <col min="7" max="10" width="14.33203125" customWidth="1"/>
    <col min="11" max="11" width="18" bestFit="1" customWidth="1"/>
    <col min="12" max="12" width="23" customWidth="1"/>
  </cols>
  <sheetData>
    <row r="2" spans="3:12" x14ac:dyDescent="0.3">
      <c r="C2" s="20" t="s">
        <v>26</v>
      </c>
      <c r="L2" s="20" t="s">
        <v>27</v>
      </c>
    </row>
    <row r="3" spans="3:12" x14ac:dyDescent="0.3">
      <c r="C3" s="20" t="s">
        <v>28</v>
      </c>
    </row>
    <row r="4" spans="3:12" x14ac:dyDescent="0.3">
      <c r="C4" s="20" t="s">
        <v>29</v>
      </c>
    </row>
    <row r="5" spans="3:12" x14ac:dyDescent="0.3">
      <c r="C5" s="20" t="s">
        <v>30</v>
      </c>
    </row>
    <row r="6" spans="3:12" x14ac:dyDescent="0.3">
      <c r="C6" s="20" t="s">
        <v>31</v>
      </c>
    </row>
    <row r="8" spans="3:12" x14ac:dyDescent="0.3">
      <c r="C8" s="21" t="s">
        <v>32</v>
      </c>
      <c r="D8" s="21" t="s">
        <v>33</v>
      </c>
      <c r="E8" s="21" t="s">
        <v>34</v>
      </c>
      <c r="F8" s="21" t="s">
        <v>35</v>
      </c>
      <c r="G8" s="21" t="s">
        <v>36</v>
      </c>
      <c r="H8" s="21" t="s">
        <v>37</v>
      </c>
      <c r="I8" s="21" t="s">
        <v>38</v>
      </c>
      <c r="J8" s="21" t="s">
        <v>0</v>
      </c>
      <c r="K8" s="21" t="s">
        <v>5</v>
      </c>
      <c r="L8" s="21" t="s">
        <v>47</v>
      </c>
    </row>
    <row r="9" spans="3:12" x14ac:dyDescent="0.3">
      <c r="C9" s="28">
        <v>20847</v>
      </c>
      <c r="D9" s="29" t="s">
        <v>39</v>
      </c>
      <c r="E9" s="28">
        <v>4</v>
      </c>
      <c r="F9" s="30">
        <v>2.84</v>
      </c>
      <c r="G9" s="30">
        <v>0.93</v>
      </c>
      <c r="H9" s="30">
        <f>Table1[[#This Row],[Unit Price]]*Table1[[#This Row],[Quantity ordered]]</f>
        <v>11.36</v>
      </c>
      <c r="I9" s="30">
        <v>0.54</v>
      </c>
      <c r="J9" s="28">
        <f>(Table1[[#This Row],[Quantity ordered]]*Table1[[#This Row],[Unit Price]])+Table1[[#This Row],[Shipping Cost]]</f>
        <v>12.29</v>
      </c>
      <c r="K9" s="28">
        <f>(Table1[[#This Row],[Quantity ordered]]*Table1[[#This Row],[Product Margin per unit]])-Table1[[#This Row],[Shipping Cost]]</f>
        <v>1.23</v>
      </c>
      <c r="L9" s="31">
        <f>Table1[[#This Row],[Profit]]/Table1[[#This Row],[Shipping Cost]]</f>
        <v>1.3225806451612903</v>
      </c>
    </row>
    <row r="10" spans="3:12" x14ac:dyDescent="0.3">
      <c r="C10" s="28">
        <v>20228</v>
      </c>
      <c r="D10" s="29" t="s">
        <v>40</v>
      </c>
      <c r="E10" s="28">
        <v>12</v>
      </c>
      <c r="F10" s="30">
        <v>500.98</v>
      </c>
      <c r="G10" s="30">
        <v>26</v>
      </c>
      <c r="H10" s="30">
        <f>Table1[[#This Row],[Unit Price]]*Table1[[#This Row],[Quantity ordered]]</f>
        <v>6011.76</v>
      </c>
      <c r="I10" s="30">
        <v>0.6</v>
      </c>
      <c r="J10" s="28">
        <f>(Table1[[#This Row],[Quantity ordered]]*Table1[[#This Row],[Unit Price]])+Table1[[#This Row],[Shipping Cost]]</f>
        <v>6037.76</v>
      </c>
      <c r="K10" s="28">
        <f>(Table1[[#This Row],[Quantity ordered]]*Table1[[#This Row],[Product Margin per unit]])-Table1[[#This Row],[Shipping Cost]]</f>
        <v>-18.8</v>
      </c>
      <c r="L10" s="31">
        <f>Table1[[#This Row],[Profit]]/Table1[[#This Row],[Shipping Cost]]</f>
        <v>-0.72307692307692306</v>
      </c>
    </row>
    <row r="11" spans="3:12" x14ac:dyDescent="0.3">
      <c r="C11" s="28">
        <v>21776</v>
      </c>
      <c r="D11" s="29" t="s">
        <v>41</v>
      </c>
      <c r="E11" s="28">
        <v>22</v>
      </c>
      <c r="F11" s="30">
        <v>9.48</v>
      </c>
      <c r="G11" s="30">
        <v>7.29</v>
      </c>
      <c r="H11" s="30">
        <f>Table1[[#This Row],[Unit Price]]*Table1[[#This Row],[Quantity ordered]]</f>
        <v>208.56</v>
      </c>
      <c r="I11" s="30">
        <v>0.45</v>
      </c>
      <c r="J11" s="28">
        <f>(Table1[[#This Row],[Quantity ordered]]*Table1[[#This Row],[Unit Price]])+Table1[[#This Row],[Shipping Cost]]</f>
        <v>215.85</v>
      </c>
      <c r="K11" s="28">
        <f>(Table1[[#This Row],[Quantity ordered]]*Table1[[#This Row],[Product Margin per unit]])-Table1[[#This Row],[Shipping Cost]]</f>
        <v>2.6100000000000003</v>
      </c>
      <c r="L11" s="31">
        <f>Table1[[#This Row],[Profit]]/Table1[[#This Row],[Shipping Cost]]</f>
        <v>0.35802469135802473</v>
      </c>
    </row>
    <row r="12" spans="3:12" x14ac:dyDescent="0.3">
      <c r="C12" s="28">
        <v>24844</v>
      </c>
      <c r="D12" s="29" t="s">
        <v>42</v>
      </c>
      <c r="E12" s="28">
        <v>16</v>
      </c>
      <c r="F12" s="30">
        <v>78.69</v>
      </c>
      <c r="G12" s="30">
        <v>19.989999999999998</v>
      </c>
      <c r="H12" s="30">
        <f>Table1[[#This Row],[Unit Price]]*Table1[[#This Row],[Quantity ordered]]</f>
        <v>1259.04</v>
      </c>
      <c r="I12" s="30">
        <v>0.43</v>
      </c>
      <c r="J12" s="28">
        <f>(Table1[[#This Row],[Quantity ordered]]*Table1[[#This Row],[Unit Price]])+Table1[[#This Row],[Shipping Cost]]</f>
        <v>1279.03</v>
      </c>
      <c r="K12" s="28">
        <f>(Table1[[#This Row],[Quantity ordered]]*Table1[[#This Row],[Product Margin per unit]])-Table1[[#This Row],[Shipping Cost]]</f>
        <v>-13.11</v>
      </c>
      <c r="L12" s="31">
        <f>Table1[[#This Row],[Profit]]/Table1[[#This Row],[Shipping Cost]]</f>
        <v>-0.65582791395697848</v>
      </c>
    </row>
    <row r="13" spans="3:12" x14ac:dyDescent="0.3">
      <c r="C13" s="28">
        <v>24846</v>
      </c>
      <c r="D13" s="29" t="s">
        <v>42</v>
      </c>
      <c r="E13" s="28">
        <v>7</v>
      </c>
      <c r="F13" s="30">
        <v>3.28</v>
      </c>
      <c r="G13" s="30">
        <v>2.31</v>
      </c>
      <c r="H13" s="30">
        <f>Table1[[#This Row],[Unit Price]]*Table1[[#This Row],[Quantity ordered]]</f>
        <v>22.959999999999997</v>
      </c>
      <c r="I13" s="30">
        <v>0.56000000000000005</v>
      </c>
      <c r="J13" s="28">
        <f>(Table1[[#This Row],[Quantity ordered]]*Table1[[#This Row],[Unit Price]])+Table1[[#This Row],[Shipping Cost]]</f>
        <v>25.269999999999996</v>
      </c>
      <c r="K13" s="28">
        <f>(Table1[[#This Row],[Quantity ordered]]*Table1[[#This Row],[Product Margin per unit]])-Table1[[#This Row],[Shipping Cost]]</f>
        <v>1.6100000000000003</v>
      </c>
      <c r="L13" s="31">
        <f>Table1[[#This Row],[Profit]]/Table1[[#This Row],[Shipping Cost]]</f>
        <v>0.69696969696969713</v>
      </c>
    </row>
    <row r="14" spans="3:12" x14ac:dyDescent="0.3">
      <c r="C14" s="28">
        <v>24847</v>
      </c>
      <c r="D14" s="29" t="s">
        <v>42</v>
      </c>
      <c r="E14" s="28">
        <v>4</v>
      </c>
      <c r="F14" s="30">
        <v>3.28</v>
      </c>
      <c r="G14" s="30">
        <v>4.2</v>
      </c>
      <c r="H14" s="30">
        <f>Table1[[#This Row],[Unit Price]]*Table1[[#This Row],[Quantity ordered]]</f>
        <v>13.12</v>
      </c>
      <c r="I14" s="30">
        <v>0.56000000000000005</v>
      </c>
      <c r="J14" s="28">
        <f>(Table1[[#This Row],[Quantity ordered]]*Table1[[#This Row],[Unit Price]])+Table1[[#This Row],[Shipping Cost]]</f>
        <v>17.32</v>
      </c>
      <c r="K14" s="28">
        <f>(Table1[[#This Row],[Quantity ordered]]*Table1[[#This Row],[Product Margin per unit]])-Table1[[#This Row],[Shipping Cost]]</f>
        <v>-1.96</v>
      </c>
      <c r="L14" s="31">
        <f>Table1[[#This Row],[Profit]]/Table1[[#This Row],[Shipping Cost]]</f>
        <v>-0.46666666666666662</v>
      </c>
    </row>
    <row r="15" spans="3:12" x14ac:dyDescent="0.3">
      <c r="C15" s="28">
        <v>24848</v>
      </c>
      <c r="D15" s="29" t="s">
        <v>42</v>
      </c>
      <c r="E15" s="28">
        <v>4</v>
      </c>
      <c r="F15" s="30">
        <v>3.58</v>
      </c>
      <c r="G15" s="30">
        <v>1.63</v>
      </c>
      <c r="H15" s="30">
        <f>Table1[[#This Row],[Unit Price]]*Table1[[#This Row],[Quantity ordered]]</f>
        <v>14.32</v>
      </c>
      <c r="I15" s="30">
        <v>0.36</v>
      </c>
      <c r="J15" s="28">
        <f>(Table1[[#This Row],[Quantity ordered]]*Table1[[#This Row],[Unit Price]])+Table1[[#This Row],[Shipping Cost]]</f>
        <v>15.95</v>
      </c>
      <c r="K15" s="28">
        <f>(Table1[[#This Row],[Quantity ordered]]*Table1[[#This Row],[Product Margin per unit]])-Table1[[#This Row],[Shipping Cost]]</f>
        <v>-0.18999999999999995</v>
      </c>
      <c r="L15" s="31">
        <f>Table1[[#This Row],[Profit]]/Table1[[#This Row],[Shipping Cost]]</f>
        <v>-0.11656441717791409</v>
      </c>
    </row>
    <row r="16" spans="3:12" x14ac:dyDescent="0.3">
      <c r="C16" s="28">
        <v>18181</v>
      </c>
      <c r="D16" s="29" t="s">
        <v>41</v>
      </c>
      <c r="E16" s="28">
        <v>7</v>
      </c>
      <c r="F16" s="30">
        <v>4.42</v>
      </c>
      <c r="G16" s="30">
        <v>4.99</v>
      </c>
      <c r="H16" s="30">
        <f>Table1[[#This Row],[Unit Price]]*Table1[[#This Row],[Quantity ordered]]</f>
        <v>30.939999999999998</v>
      </c>
      <c r="I16" s="30">
        <v>0.38</v>
      </c>
      <c r="J16" s="28">
        <f>(Table1[[#This Row],[Quantity ordered]]*Table1[[#This Row],[Unit Price]])+Table1[[#This Row],[Shipping Cost]]</f>
        <v>35.93</v>
      </c>
      <c r="K16" s="28">
        <f>(Table1[[#This Row],[Quantity ordered]]*Table1[[#This Row],[Product Margin per unit]])-Table1[[#This Row],[Shipping Cost]]</f>
        <v>-2.33</v>
      </c>
      <c r="L16" s="31">
        <f>Table1[[#This Row],[Profit]]/Table1[[#This Row],[Shipping Cost]]</f>
        <v>-0.46693386773547091</v>
      </c>
    </row>
    <row r="17" spans="3:12" x14ac:dyDescent="0.3">
      <c r="C17" s="28">
        <v>20925</v>
      </c>
      <c r="D17" s="29" t="s">
        <v>42</v>
      </c>
      <c r="E17" s="28">
        <v>10</v>
      </c>
      <c r="F17" s="30">
        <v>35.94</v>
      </c>
      <c r="G17" s="30">
        <v>6.66</v>
      </c>
      <c r="H17" s="30">
        <f>Table1[[#This Row],[Unit Price]]*Table1[[#This Row],[Quantity ordered]]</f>
        <v>359.4</v>
      </c>
      <c r="I17" s="30">
        <v>0.4</v>
      </c>
      <c r="J17" s="28">
        <f>(Table1[[#This Row],[Quantity ordered]]*Table1[[#This Row],[Unit Price]])+Table1[[#This Row],[Shipping Cost]]</f>
        <v>366.06</v>
      </c>
      <c r="K17" s="28">
        <f>(Table1[[#This Row],[Quantity ordered]]*Table1[[#This Row],[Product Margin per unit]])-Table1[[#This Row],[Shipping Cost]]</f>
        <v>-2.66</v>
      </c>
      <c r="L17" s="31">
        <f>Table1[[#This Row],[Profit]]/Table1[[#This Row],[Shipping Cost]]</f>
        <v>-0.39939939939939939</v>
      </c>
    </row>
    <row r="18" spans="3:12" x14ac:dyDescent="0.3">
      <c r="C18" s="28">
        <v>26267</v>
      </c>
      <c r="D18" s="29" t="s">
        <v>39</v>
      </c>
      <c r="E18" s="28">
        <v>6</v>
      </c>
      <c r="F18" s="30">
        <v>2.98</v>
      </c>
      <c r="G18" s="30">
        <v>1.58</v>
      </c>
      <c r="H18" s="30">
        <f>Table1[[#This Row],[Unit Price]]*Table1[[#This Row],[Quantity ordered]]</f>
        <v>17.88</v>
      </c>
      <c r="I18" s="30">
        <v>0.39</v>
      </c>
      <c r="J18" s="28">
        <f>(Table1[[#This Row],[Quantity ordered]]*Table1[[#This Row],[Unit Price]])+Table1[[#This Row],[Shipping Cost]]</f>
        <v>19.46</v>
      </c>
      <c r="K18" s="28">
        <f>(Table1[[#This Row],[Quantity ordered]]*Table1[[#This Row],[Product Margin per unit]])-Table1[[#This Row],[Shipping Cost]]</f>
        <v>0.75999999999999979</v>
      </c>
      <c r="L18" s="31">
        <f>Table1[[#This Row],[Profit]]/Table1[[#This Row],[Shipping Cost]]</f>
        <v>0.48101265822784794</v>
      </c>
    </row>
    <row r="19" spans="3:12" x14ac:dyDescent="0.3">
      <c r="C19" s="28">
        <v>26268</v>
      </c>
      <c r="D19" s="29" t="s">
        <v>39</v>
      </c>
      <c r="E19" s="28">
        <v>10</v>
      </c>
      <c r="F19" s="30">
        <v>115.99</v>
      </c>
      <c r="G19" s="30">
        <v>2.5</v>
      </c>
      <c r="H19" s="30">
        <f>Table1[[#This Row],[Unit Price]]*Table1[[#This Row],[Quantity ordered]]</f>
        <v>1159.8999999999999</v>
      </c>
      <c r="I19" s="30">
        <v>0.55000000000000004</v>
      </c>
      <c r="J19" s="28">
        <f>(Table1[[#This Row],[Quantity ordered]]*Table1[[#This Row],[Unit Price]])+Table1[[#This Row],[Shipping Cost]]</f>
        <v>1162.3999999999999</v>
      </c>
      <c r="K19" s="28">
        <f>(Table1[[#This Row],[Quantity ordered]]*Table1[[#This Row],[Product Margin per unit]])-Table1[[#This Row],[Shipping Cost]]</f>
        <v>3</v>
      </c>
      <c r="L19" s="31">
        <f>Table1[[#This Row],[Profit]]/Table1[[#This Row],[Shipping Cost]]</f>
        <v>1.2</v>
      </c>
    </row>
    <row r="20" spans="3:12" x14ac:dyDescent="0.3">
      <c r="C20" s="28">
        <v>23890</v>
      </c>
      <c r="D20" s="29" t="s">
        <v>39</v>
      </c>
      <c r="E20" s="28">
        <v>17</v>
      </c>
      <c r="F20" s="30">
        <v>26.48</v>
      </c>
      <c r="G20" s="30">
        <v>6.93</v>
      </c>
      <c r="H20" s="30">
        <f>Table1[[#This Row],[Unit Price]]*Table1[[#This Row],[Quantity ordered]]</f>
        <v>450.16</v>
      </c>
      <c r="I20" s="30">
        <v>0.49</v>
      </c>
      <c r="J20" s="28">
        <f>(Table1[[#This Row],[Quantity ordered]]*Table1[[#This Row],[Unit Price]])+Table1[[#This Row],[Shipping Cost]]</f>
        <v>457.09000000000003</v>
      </c>
      <c r="K20" s="28">
        <f>(Table1[[#This Row],[Quantity ordered]]*Table1[[#This Row],[Product Margin per unit]])-Table1[[#This Row],[Shipping Cost]]</f>
        <v>1.4000000000000004</v>
      </c>
      <c r="L20" s="31">
        <f>Table1[[#This Row],[Profit]]/Table1[[#This Row],[Shipping Cost]]</f>
        <v>0.20202020202020207</v>
      </c>
    </row>
    <row r="21" spans="3:12" x14ac:dyDescent="0.3">
      <c r="C21" s="28">
        <v>24063</v>
      </c>
      <c r="D21" s="29" t="s">
        <v>40</v>
      </c>
      <c r="E21" s="28">
        <v>18</v>
      </c>
      <c r="F21" s="30">
        <v>12.99</v>
      </c>
      <c r="G21" s="30">
        <v>9.44</v>
      </c>
      <c r="H21" s="30">
        <f>Table1[[#This Row],[Unit Price]]*Table1[[#This Row],[Quantity ordered]]</f>
        <v>233.82</v>
      </c>
      <c r="I21" s="30">
        <v>0.39</v>
      </c>
      <c r="J21" s="28">
        <f>(Table1[[#This Row],[Quantity ordered]]*Table1[[#This Row],[Unit Price]])+Table1[[#This Row],[Shipping Cost]]</f>
        <v>243.26</v>
      </c>
      <c r="K21" s="28">
        <f>(Table1[[#This Row],[Quantity ordered]]*Table1[[#This Row],[Product Margin per unit]])-Table1[[#This Row],[Shipping Cost]]</f>
        <v>-2.419999999999999</v>
      </c>
      <c r="L21" s="31">
        <f>Table1[[#This Row],[Profit]]/Table1[[#This Row],[Shipping Cost]]</f>
        <v>-0.25635593220338976</v>
      </c>
    </row>
    <row r="22" spans="3:12" x14ac:dyDescent="0.3">
      <c r="C22" s="28">
        <v>5890</v>
      </c>
      <c r="D22" s="29" t="s">
        <v>39</v>
      </c>
      <c r="E22" s="28">
        <v>70</v>
      </c>
      <c r="F22" s="30">
        <v>26.48</v>
      </c>
      <c r="G22" s="30">
        <v>6.93</v>
      </c>
      <c r="H22" s="30">
        <f>Table1[[#This Row],[Unit Price]]*Table1[[#This Row],[Quantity ordered]]</f>
        <v>1853.6000000000001</v>
      </c>
      <c r="I22" s="30">
        <v>0.49</v>
      </c>
      <c r="J22" s="28">
        <f>(Table1[[#This Row],[Quantity ordered]]*Table1[[#This Row],[Unit Price]])+Table1[[#This Row],[Shipping Cost]]</f>
        <v>1860.5300000000002</v>
      </c>
      <c r="K22" s="28">
        <f>(Table1[[#This Row],[Quantity ordered]]*Table1[[#This Row],[Product Margin per unit]])-Table1[[#This Row],[Shipping Cost]]</f>
        <v>27.369999999999997</v>
      </c>
      <c r="L22" s="31">
        <f>Table1[[#This Row],[Profit]]/Table1[[#This Row],[Shipping Cost]]</f>
        <v>3.9494949494949494</v>
      </c>
    </row>
    <row r="23" spans="3:12" x14ac:dyDescent="0.3">
      <c r="C23" s="28">
        <v>6062</v>
      </c>
      <c r="D23" s="29" t="s">
        <v>40</v>
      </c>
      <c r="E23" s="28">
        <v>58</v>
      </c>
      <c r="F23" s="30">
        <v>5</v>
      </c>
      <c r="G23" s="30">
        <v>3.39</v>
      </c>
      <c r="H23" s="30">
        <f>Table1[[#This Row],[Unit Price]]*Table1[[#This Row],[Quantity ordered]]</f>
        <v>290</v>
      </c>
      <c r="I23" s="30">
        <v>0.37</v>
      </c>
      <c r="J23" s="28">
        <f>(Table1[[#This Row],[Quantity ordered]]*Table1[[#This Row],[Unit Price]])+Table1[[#This Row],[Shipping Cost]]</f>
        <v>293.39</v>
      </c>
      <c r="K23" s="28">
        <f>(Table1[[#This Row],[Quantity ordered]]*Table1[[#This Row],[Product Margin per unit]])-Table1[[#This Row],[Shipping Cost]]</f>
        <v>18.07</v>
      </c>
      <c r="L23" s="31">
        <f>Table1[[#This Row],[Profit]]/Table1[[#This Row],[Shipping Cost]]</f>
        <v>5.3303834808259589</v>
      </c>
    </row>
    <row r="24" spans="3:12" x14ac:dyDescent="0.3">
      <c r="C24" s="28">
        <v>6063</v>
      </c>
      <c r="D24" s="29" t="s">
        <v>40</v>
      </c>
      <c r="E24" s="28">
        <v>71</v>
      </c>
      <c r="F24" s="30">
        <v>12.99</v>
      </c>
      <c r="G24" s="30">
        <v>9.44</v>
      </c>
      <c r="H24" s="30">
        <f>Table1[[#This Row],[Unit Price]]*Table1[[#This Row],[Quantity ordered]]</f>
        <v>922.29</v>
      </c>
      <c r="I24" s="30">
        <v>0.39</v>
      </c>
      <c r="J24" s="28">
        <f>(Table1[[#This Row],[Quantity ordered]]*Table1[[#This Row],[Unit Price]])+Table1[[#This Row],[Shipping Cost]]</f>
        <v>931.73</v>
      </c>
      <c r="K24" s="28">
        <f>(Table1[[#This Row],[Quantity ordered]]*Table1[[#This Row],[Product Margin per unit]])-Table1[[#This Row],[Shipping Cost]]</f>
        <v>18.25</v>
      </c>
      <c r="L24" s="31">
        <f>Table1[[#This Row],[Profit]]/Table1[[#This Row],[Shipping Cost]]</f>
        <v>1.9332627118644068</v>
      </c>
    </row>
    <row r="25" spans="3:12" x14ac:dyDescent="0.3">
      <c r="C25" s="28">
        <v>20631</v>
      </c>
      <c r="D25" s="29" t="s">
        <v>39</v>
      </c>
      <c r="E25" s="28">
        <v>1</v>
      </c>
      <c r="F25" s="30">
        <v>55.48</v>
      </c>
      <c r="G25" s="30">
        <v>14.3</v>
      </c>
      <c r="H25" s="30">
        <f>Table1[[#This Row],[Unit Price]]*Table1[[#This Row],[Quantity ordered]]</f>
        <v>55.48</v>
      </c>
      <c r="I25" s="30">
        <v>0.37</v>
      </c>
      <c r="J25" s="28">
        <f>(Table1[[#This Row],[Quantity ordered]]*Table1[[#This Row],[Unit Price]])+Table1[[#This Row],[Shipping Cost]]</f>
        <v>69.78</v>
      </c>
      <c r="K25" s="28">
        <f>(Table1[[#This Row],[Quantity ordered]]*Table1[[#This Row],[Product Margin per unit]])-Table1[[#This Row],[Shipping Cost]]</f>
        <v>-13.930000000000001</v>
      </c>
      <c r="L25" s="31">
        <f>Table1[[#This Row],[Profit]]/Table1[[#This Row],[Shipping Cost]]</f>
        <v>-0.97412587412587415</v>
      </c>
    </row>
    <row r="26" spans="3:12" x14ac:dyDescent="0.3">
      <c r="C26" s="28">
        <v>20632</v>
      </c>
      <c r="D26" s="29" t="s">
        <v>39</v>
      </c>
      <c r="E26" s="28">
        <v>1</v>
      </c>
      <c r="F26" s="30">
        <v>1.68</v>
      </c>
      <c r="G26" s="30">
        <v>1.57</v>
      </c>
      <c r="H26" s="30">
        <f>Table1[[#This Row],[Unit Price]]*Table1[[#This Row],[Quantity ordered]]</f>
        <v>1.68</v>
      </c>
      <c r="I26" s="30">
        <v>0.59</v>
      </c>
      <c r="J26" s="28">
        <f>(Table1[[#This Row],[Quantity ordered]]*Table1[[#This Row],[Unit Price]])+Table1[[#This Row],[Shipping Cost]]</f>
        <v>3.25</v>
      </c>
      <c r="K26" s="28">
        <f>(Table1[[#This Row],[Quantity ordered]]*Table1[[#This Row],[Product Margin per unit]])-Table1[[#This Row],[Shipping Cost]]</f>
        <v>-0.98000000000000009</v>
      </c>
      <c r="L26" s="31">
        <f>Table1[[#This Row],[Profit]]/Table1[[#This Row],[Shipping Cost]]</f>
        <v>-0.62420382165605104</v>
      </c>
    </row>
    <row r="27" spans="3:12" x14ac:dyDescent="0.3">
      <c r="C27" s="28">
        <v>23967</v>
      </c>
      <c r="D27" s="29" t="s">
        <v>40</v>
      </c>
      <c r="E27" s="28">
        <v>12</v>
      </c>
      <c r="F27" s="30">
        <v>4.1399999999999997</v>
      </c>
      <c r="G27" s="30">
        <v>6.6</v>
      </c>
      <c r="H27" s="30">
        <f>Table1[[#This Row],[Unit Price]]*Table1[[#This Row],[Quantity ordered]]</f>
        <v>49.679999999999993</v>
      </c>
      <c r="I27" s="30">
        <v>0.49</v>
      </c>
      <c r="J27" s="28">
        <f>(Table1[[#This Row],[Quantity ordered]]*Table1[[#This Row],[Unit Price]])+Table1[[#This Row],[Shipping Cost]]</f>
        <v>56.279999999999994</v>
      </c>
      <c r="K27" s="28">
        <f>(Table1[[#This Row],[Quantity ordered]]*Table1[[#This Row],[Product Margin per unit]])-Table1[[#This Row],[Shipping Cost]]</f>
        <v>-0.71999999999999975</v>
      </c>
      <c r="L27" s="31">
        <f>Table1[[#This Row],[Profit]]/Table1[[#This Row],[Shipping Cost]]</f>
        <v>-0.10909090909090906</v>
      </c>
    </row>
    <row r="28" spans="3:12" x14ac:dyDescent="0.3">
      <c r="C28" s="28">
        <v>23509</v>
      </c>
      <c r="D28" s="29" t="s">
        <v>39</v>
      </c>
      <c r="E28" s="28">
        <v>13</v>
      </c>
      <c r="F28" s="30">
        <v>34.99</v>
      </c>
      <c r="G28" s="30">
        <v>7.73</v>
      </c>
      <c r="H28" s="30">
        <f>Table1[[#This Row],[Unit Price]]*Table1[[#This Row],[Quantity ordered]]</f>
        <v>454.87</v>
      </c>
      <c r="I28" s="30">
        <v>0.59</v>
      </c>
      <c r="J28" s="28">
        <f>(Table1[[#This Row],[Quantity ordered]]*Table1[[#This Row],[Unit Price]])+Table1[[#This Row],[Shipping Cost]]</f>
        <v>462.6</v>
      </c>
      <c r="K28" s="28">
        <f>(Table1[[#This Row],[Quantity ordered]]*Table1[[#This Row],[Product Margin per unit]])-Table1[[#This Row],[Shipping Cost]]</f>
        <v>-6.0000000000000497E-2</v>
      </c>
      <c r="L28" s="31">
        <f>Table1[[#This Row],[Profit]]/Table1[[#This Row],[Shipping Cost]]</f>
        <v>-7.7619663648124827E-3</v>
      </c>
    </row>
    <row r="29" spans="3:12" x14ac:dyDescent="0.3">
      <c r="C29" s="28">
        <v>23612</v>
      </c>
      <c r="D29" s="29" t="s">
        <v>39</v>
      </c>
      <c r="E29" s="28">
        <v>2</v>
      </c>
      <c r="F29" s="30">
        <v>17.98</v>
      </c>
      <c r="G29" s="30">
        <v>8.51</v>
      </c>
      <c r="H29" s="30">
        <f>Table1[[#This Row],[Unit Price]]*Table1[[#This Row],[Quantity ordered]]</f>
        <v>35.96</v>
      </c>
      <c r="I29" s="30">
        <v>0.4</v>
      </c>
      <c r="J29" s="28">
        <f>(Table1[[#This Row],[Quantity ordered]]*Table1[[#This Row],[Unit Price]])+Table1[[#This Row],[Shipping Cost]]</f>
        <v>44.47</v>
      </c>
      <c r="K29" s="28">
        <f>(Table1[[#This Row],[Quantity ordered]]*Table1[[#This Row],[Product Margin per unit]])-Table1[[#This Row],[Shipping Cost]]</f>
        <v>-7.71</v>
      </c>
      <c r="L29" s="31">
        <f>Table1[[#This Row],[Profit]]/Table1[[#This Row],[Shipping Cost]]</f>
        <v>-0.90599294947121034</v>
      </c>
    </row>
    <row r="30" spans="3:12" x14ac:dyDescent="0.3">
      <c r="C30" s="28">
        <v>23278</v>
      </c>
      <c r="D30" s="29" t="s">
        <v>42</v>
      </c>
      <c r="E30" s="28">
        <v>8</v>
      </c>
      <c r="F30" s="30">
        <v>125.99</v>
      </c>
      <c r="G30" s="30">
        <v>7.69</v>
      </c>
      <c r="H30" s="30">
        <f>Table1[[#This Row],[Unit Price]]*Table1[[#This Row],[Quantity ordered]]</f>
        <v>1007.92</v>
      </c>
      <c r="I30" s="30">
        <v>0.59</v>
      </c>
      <c r="J30" s="28">
        <f>(Table1[[#This Row],[Quantity ordered]]*Table1[[#This Row],[Unit Price]])+Table1[[#This Row],[Shipping Cost]]</f>
        <v>1015.61</v>
      </c>
      <c r="K30" s="28">
        <f>(Table1[[#This Row],[Quantity ordered]]*Table1[[#This Row],[Product Margin per unit]])-Table1[[#This Row],[Shipping Cost]]</f>
        <v>-2.9700000000000006</v>
      </c>
      <c r="L30" s="31">
        <f>Table1[[#This Row],[Profit]]/Table1[[#This Row],[Shipping Cost]]</f>
        <v>-0.38621586475942787</v>
      </c>
    </row>
    <row r="31" spans="3:12" x14ac:dyDescent="0.3">
      <c r="C31" s="28">
        <v>19355</v>
      </c>
      <c r="D31" s="29" t="s">
        <v>43</v>
      </c>
      <c r="E31" s="28">
        <v>22</v>
      </c>
      <c r="F31" s="30">
        <v>205.99</v>
      </c>
      <c r="G31" s="30">
        <v>8.99</v>
      </c>
      <c r="H31" s="30">
        <f>Table1[[#This Row],[Unit Price]]*Table1[[#This Row],[Quantity ordered]]</f>
        <v>4531.7800000000007</v>
      </c>
      <c r="I31" s="30">
        <v>0.56000000000000005</v>
      </c>
      <c r="J31" s="28">
        <f>(Table1[[#This Row],[Quantity ordered]]*Table1[[#This Row],[Unit Price]])+Table1[[#This Row],[Shipping Cost]]</f>
        <v>4540.7700000000004</v>
      </c>
      <c r="K31" s="28">
        <f>(Table1[[#This Row],[Quantity ordered]]*Table1[[#This Row],[Product Margin per unit]])-Table1[[#This Row],[Shipping Cost]]</f>
        <v>3.33</v>
      </c>
      <c r="L31" s="31">
        <f>Table1[[#This Row],[Profit]]/Table1[[#This Row],[Shipping Cost]]</f>
        <v>0.37041156840934369</v>
      </c>
    </row>
    <row r="32" spans="3:12" x14ac:dyDescent="0.3">
      <c r="C32" s="28">
        <v>23654</v>
      </c>
      <c r="D32" s="29" t="s">
        <v>40</v>
      </c>
      <c r="E32" s="28">
        <v>13</v>
      </c>
      <c r="F32" s="30">
        <v>4.24</v>
      </c>
      <c r="G32" s="30">
        <v>5.41</v>
      </c>
      <c r="H32" s="30">
        <f>Table1[[#This Row],[Unit Price]]*Table1[[#This Row],[Quantity ordered]]</f>
        <v>55.120000000000005</v>
      </c>
      <c r="I32" s="30">
        <v>0.35</v>
      </c>
      <c r="J32" s="28">
        <f>(Table1[[#This Row],[Quantity ordered]]*Table1[[#This Row],[Unit Price]])+Table1[[#This Row],[Shipping Cost]]</f>
        <v>60.53</v>
      </c>
      <c r="K32" s="28">
        <f>(Table1[[#This Row],[Quantity ordered]]*Table1[[#This Row],[Product Margin per unit]])-Table1[[#This Row],[Shipping Cost]]</f>
        <v>-0.86000000000000032</v>
      </c>
      <c r="L32" s="31">
        <f>Table1[[#This Row],[Profit]]/Table1[[#This Row],[Shipping Cost]]</f>
        <v>-0.15896487985212573</v>
      </c>
    </row>
    <row r="33" spans="3:12" x14ac:dyDescent="0.3">
      <c r="C33" s="28">
        <v>23655</v>
      </c>
      <c r="D33" s="29" t="s">
        <v>40</v>
      </c>
      <c r="E33" s="28">
        <v>18</v>
      </c>
      <c r="F33" s="30">
        <v>2.94</v>
      </c>
      <c r="G33" s="30">
        <v>0.7</v>
      </c>
      <c r="H33" s="30">
        <f>Table1[[#This Row],[Unit Price]]*Table1[[#This Row],[Quantity ordered]]</f>
        <v>52.92</v>
      </c>
      <c r="I33" s="30">
        <v>0.57999999999999996</v>
      </c>
      <c r="J33" s="28">
        <f>(Table1[[#This Row],[Quantity ordered]]*Table1[[#This Row],[Unit Price]])+Table1[[#This Row],[Shipping Cost]]</f>
        <v>53.620000000000005</v>
      </c>
      <c r="K33" s="28">
        <f>(Table1[[#This Row],[Quantity ordered]]*Table1[[#This Row],[Product Margin per unit]])-Table1[[#This Row],[Shipping Cost]]</f>
        <v>9.74</v>
      </c>
      <c r="L33" s="31">
        <f>Table1[[#This Row],[Profit]]/Table1[[#This Row],[Shipping Cost]]</f>
        <v>13.914285714285715</v>
      </c>
    </row>
    <row r="34" spans="3:12" x14ac:dyDescent="0.3">
      <c r="C34" s="28">
        <v>25933</v>
      </c>
      <c r="D34" s="29" t="s">
        <v>39</v>
      </c>
      <c r="E34" s="28">
        <v>6</v>
      </c>
      <c r="F34" s="30">
        <v>99.99</v>
      </c>
      <c r="G34" s="30">
        <v>19.989999999999998</v>
      </c>
      <c r="H34" s="30">
        <f>Table1[[#This Row],[Unit Price]]*Table1[[#This Row],[Quantity ordered]]</f>
        <v>599.93999999999994</v>
      </c>
      <c r="I34" s="30">
        <v>0.52</v>
      </c>
      <c r="J34" s="28">
        <f>(Table1[[#This Row],[Quantity ordered]]*Table1[[#This Row],[Unit Price]])+Table1[[#This Row],[Shipping Cost]]</f>
        <v>619.92999999999995</v>
      </c>
      <c r="K34" s="28">
        <f>(Table1[[#This Row],[Quantity ordered]]*Table1[[#This Row],[Product Margin per unit]])-Table1[[#This Row],[Shipping Cost]]</f>
        <v>-16.869999999999997</v>
      </c>
      <c r="L34" s="31">
        <f>Table1[[#This Row],[Profit]]/Table1[[#This Row],[Shipping Cost]]</f>
        <v>-0.84392196098049022</v>
      </c>
    </row>
    <row r="35" spans="3:12" x14ac:dyDescent="0.3">
      <c r="C35" s="28">
        <v>20697</v>
      </c>
      <c r="D35" s="29" t="s">
        <v>42</v>
      </c>
      <c r="E35" s="28">
        <v>6</v>
      </c>
      <c r="F35" s="30">
        <v>115.99</v>
      </c>
      <c r="G35" s="30">
        <v>2.5</v>
      </c>
      <c r="H35" s="30">
        <f>Table1[[#This Row],[Unit Price]]*Table1[[#This Row],[Quantity ordered]]</f>
        <v>695.93999999999994</v>
      </c>
      <c r="I35" s="30">
        <v>0.56999999999999995</v>
      </c>
      <c r="J35" s="28">
        <f>(Table1[[#This Row],[Quantity ordered]]*Table1[[#This Row],[Unit Price]])+Table1[[#This Row],[Shipping Cost]]</f>
        <v>698.43999999999994</v>
      </c>
      <c r="K35" s="28">
        <f>(Table1[[#This Row],[Quantity ordered]]*Table1[[#This Row],[Product Margin per unit]])-Table1[[#This Row],[Shipping Cost]]</f>
        <v>0.91999999999999993</v>
      </c>
      <c r="L35" s="31">
        <f>Table1[[#This Row],[Profit]]/Table1[[#This Row],[Shipping Cost]]</f>
        <v>0.36799999999999999</v>
      </c>
    </row>
    <row r="36" spans="3:12" x14ac:dyDescent="0.3">
      <c r="C36" s="28">
        <v>20698</v>
      </c>
      <c r="D36" s="29" t="s">
        <v>42</v>
      </c>
      <c r="E36" s="28">
        <v>1</v>
      </c>
      <c r="F36" s="30">
        <v>3502.14</v>
      </c>
      <c r="G36" s="30">
        <v>8.73</v>
      </c>
      <c r="H36" s="30">
        <f>Table1[[#This Row],[Unit Price]]*Table1[[#This Row],[Quantity ordered]]</f>
        <v>3502.14</v>
      </c>
      <c r="I36" s="30">
        <v>0.56999999999999995</v>
      </c>
      <c r="J36" s="28">
        <f>(Table1[[#This Row],[Quantity ordered]]*Table1[[#This Row],[Unit Price]])+Table1[[#This Row],[Shipping Cost]]</f>
        <v>3510.87</v>
      </c>
      <c r="K36" s="28">
        <f>(Table1[[#This Row],[Quantity ordered]]*Table1[[#This Row],[Product Margin per unit]])-Table1[[#This Row],[Shipping Cost]]</f>
        <v>-8.16</v>
      </c>
      <c r="L36" s="31">
        <f>Table1[[#This Row],[Profit]]/Table1[[#This Row],[Shipping Cost]]</f>
        <v>-0.93470790378006874</v>
      </c>
    </row>
    <row r="37" spans="3:12" x14ac:dyDescent="0.3">
      <c r="C37" s="28">
        <v>22890</v>
      </c>
      <c r="D37" s="29" t="s">
        <v>39</v>
      </c>
      <c r="E37" s="28">
        <v>17</v>
      </c>
      <c r="F37" s="30">
        <v>175.99</v>
      </c>
      <c r="G37" s="30">
        <v>5.79</v>
      </c>
      <c r="H37" s="30">
        <f>Table1[[#This Row],[Unit Price]]*Table1[[#This Row],[Quantity ordered]]</f>
        <v>2991.83</v>
      </c>
      <c r="I37" s="30">
        <v>0.36</v>
      </c>
      <c r="J37" s="28">
        <f>(Table1[[#This Row],[Quantity ordered]]*Table1[[#This Row],[Unit Price]])+Table1[[#This Row],[Shipping Cost]]</f>
        <v>2997.62</v>
      </c>
      <c r="K37" s="28">
        <f>(Table1[[#This Row],[Quantity ordered]]*Table1[[#This Row],[Product Margin per unit]])-Table1[[#This Row],[Shipping Cost]]</f>
        <v>0.33000000000000007</v>
      </c>
      <c r="L37" s="31">
        <f>Table1[[#This Row],[Profit]]/Table1[[#This Row],[Shipping Cost]]</f>
        <v>5.6994818652849756E-2</v>
      </c>
    </row>
    <row r="38" spans="3:12" x14ac:dyDescent="0.3">
      <c r="C38" s="28">
        <v>25354</v>
      </c>
      <c r="D38" s="29" t="s">
        <v>39</v>
      </c>
      <c r="E38" s="28">
        <v>20</v>
      </c>
      <c r="F38" s="30">
        <v>155.06</v>
      </c>
      <c r="G38" s="30">
        <v>1.49</v>
      </c>
      <c r="H38" s="30">
        <f>Table1[[#This Row],[Unit Price]]*Table1[[#This Row],[Quantity ordered]]</f>
        <v>3101.2</v>
      </c>
      <c r="I38" s="30">
        <v>0.38</v>
      </c>
      <c r="J38" s="28">
        <f>(Table1[[#This Row],[Quantity ordered]]*Table1[[#This Row],[Unit Price]])+Table1[[#This Row],[Shipping Cost]]</f>
        <v>3102.6899999999996</v>
      </c>
      <c r="K38" s="28">
        <f>(Table1[[#This Row],[Quantity ordered]]*Table1[[#This Row],[Product Margin per unit]])-Table1[[#This Row],[Shipping Cost]]</f>
        <v>6.1099999999999994</v>
      </c>
      <c r="L38" s="31">
        <f>Table1[[#This Row],[Profit]]/Table1[[#This Row],[Shipping Cost]]</f>
        <v>4.1006711409395971</v>
      </c>
    </row>
    <row r="39" spans="3:12" x14ac:dyDescent="0.3">
      <c r="C39" s="28">
        <v>21017</v>
      </c>
      <c r="D39" s="29" t="s">
        <v>40</v>
      </c>
      <c r="E39" s="28">
        <v>17</v>
      </c>
      <c r="F39" s="30">
        <v>5.98</v>
      </c>
      <c r="G39" s="30">
        <v>0.7</v>
      </c>
      <c r="H39" s="30">
        <f>Table1[[#This Row],[Unit Price]]*Table1[[#This Row],[Quantity ordered]]</f>
        <v>101.66000000000001</v>
      </c>
      <c r="I39" s="30">
        <v>0.56000000000000005</v>
      </c>
      <c r="J39" s="28">
        <f>(Table1[[#This Row],[Quantity ordered]]*Table1[[#This Row],[Unit Price]])+Table1[[#This Row],[Shipping Cost]]</f>
        <v>102.36000000000001</v>
      </c>
      <c r="K39" s="28">
        <f>(Table1[[#This Row],[Quantity ordered]]*Table1[[#This Row],[Product Margin per unit]])-Table1[[#This Row],[Shipping Cost]]</f>
        <v>8.8200000000000021</v>
      </c>
      <c r="L39" s="31">
        <f>Table1[[#This Row],[Profit]]/Table1[[#This Row],[Shipping Cost]]</f>
        <v>12.600000000000003</v>
      </c>
    </row>
    <row r="40" spans="3:12" x14ac:dyDescent="0.3">
      <c r="C40" s="28">
        <v>21019</v>
      </c>
      <c r="D40" s="29" t="s">
        <v>40</v>
      </c>
      <c r="E40" s="28">
        <v>3</v>
      </c>
      <c r="F40" s="30">
        <v>29.14</v>
      </c>
      <c r="G40" s="30">
        <v>5.15</v>
      </c>
      <c r="H40" s="30">
        <f>Table1[[#This Row],[Unit Price]]*Table1[[#This Row],[Quantity ordered]]</f>
        <v>87.42</v>
      </c>
      <c r="I40" s="30">
        <v>0.36</v>
      </c>
      <c r="J40" s="28">
        <f>(Table1[[#This Row],[Quantity ordered]]*Table1[[#This Row],[Unit Price]])+Table1[[#This Row],[Shipping Cost]]</f>
        <v>92.570000000000007</v>
      </c>
      <c r="K40" s="28">
        <f>(Table1[[#This Row],[Quantity ordered]]*Table1[[#This Row],[Product Margin per unit]])-Table1[[#This Row],[Shipping Cost]]</f>
        <v>-4.07</v>
      </c>
      <c r="L40" s="31">
        <f>Table1[[#This Row],[Profit]]/Table1[[#This Row],[Shipping Cost]]</f>
        <v>-0.79029126213592238</v>
      </c>
    </row>
    <row r="41" spans="3:12" x14ac:dyDescent="0.3">
      <c r="C41" s="28">
        <v>23274</v>
      </c>
      <c r="D41" s="29" t="s">
        <v>43</v>
      </c>
      <c r="E41" s="28">
        <v>17</v>
      </c>
      <c r="F41" s="30">
        <v>3.69</v>
      </c>
      <c r="G41" s="30">
        <v>4.8600000000000003</v>
      </c>
      <c r="H41" s="30">
        <f>Table1[[#This Row],[Unit Price]]*Table1[[#This Row],[Quantity ordered]]</f>
        <v>62.73</v>
      </c>
      <c r="I41" s="30">
        <v>0.38</v>
      </c>
      <c r="J41" s="28">
        <f>(Table1[[#This Row],[Quantity ordered]]*Table1[[#This Row],[Unit Price]])+Table1[[#This Row],[Shipping Cost]]</f>
        <v>67.59</v>
      </c>
      <c r="K41" s="28">
        <f>(Table1[[#This Row],[Quantity ordered]]*Table1[[#This Row],[Product Margin per unit]])-Table1[[#This Row],[Shipping Cost]]</f>
        <v>1.5999999999999996</v>
      </c>
      <c r="L41" s="31">
        <f>Table1[[#This Row],[Profit]]/Table1[[#This Row],[Shipping Cost]]</f>
        <v>0.32921810699588466</v>
      </c>
    </row>
    <row r="42" spans="3:12" x14ac:dyDescent="0.3">
      <c r="C42" s="32"/>
      <c r="D42" s="32"/>
      <c r="E42" s="32"/>
      <c r="F42" s="32"/>
      <c r="G42" s="32"/>
      <c r="H42" s="32"/>
      <c r="I42" s="32"/>
      <c r="J42" s="32"/>
      <c r="K42" s="32"/>
      <c r="L42" s="32"/>
    </row>
    <row r="43" spans="3:12" x14ac:dyDescent="0.3">
      <c r="C43" s="32"/>
      <c r="D43" s="32"/>
      <c r="E43" s="32"/>
      <c r="F43" s="32"/>
      <c r="G43" s="32"/>
      <c r="H43" s="32"/>
      <c r="I43" s="32"/>
      <c r="J43" s="32"/>
      <c r="K43" s="32"/>
      <c r="L43" s="32"/>
    </row>
    <row r="44" spans="3:12" x14ac:dyDescent="0.3">
      <c r="C44" s="32"/>
      <c r="D44" s="32"/>
      <c r="E44" s="32"/>
      <c r="F44" s="32"/>
      <c r="G44" s="32"/>
      <c r="H44" s="32"/>
      <c r="I44" s="32"/>
      <c r="J44" s="32"/>
      <c r="K44" s="32"/>
      <c r="L44" s="32"/>
    </row>
    <row r="45" spans="3:12" x14ac:dyDescent="0.3">
      <c r="C45" s="32"/>
      <c r="D45" s="32"/>
      <c r="E45" s="32"/>
      <c r="F45" s="32"/>
      <c r="G45" s="32"/>
      <c r="H45" s="32"/>
      <c r="I45" s="32"/>
      <c r="J45" s="32"/>
      <c r="K45" s="32"/>
      <c r="L45" s="32"/>
    </row>
    <row r="46" spans="3:12" x14ac:dyDescent="0.3">
      <c r="C46" s="32"/>
      <c r="D46" s="32"/>
      <c r="E46" s="32"/>
      <c r="F46" s="32"/>
      <c r="G46" s="32"/>
      <c r="H46" s="32"/>
      <c r="I46" s="32"/>
      <c r="J46" s="32"/>
      <c r="K46" s="32"/>
      <c r="L46" s="32"/>
    </row>
    <row r="47" spans="3:12" x14ac:dyDescent="0.3">
      <c r="C47" s="32"/>
      <c r="D47" s="32"/>
      <c r="E47" s="32"/>
      <c r="F47" s="32"/>
      <c r="G47" s="32"/>
      <c r="H47" s="32"/>
      <c r="I47" s="32"/>
      <c r="J47" s="32"/>
      <c r="K47" s="32"/>
      <c r="L47" s="32"/>
    </row>
    <row r="48" spans="3:12" x14ac:dyDescent="0.3">
      <c r="C48" s="32"/>
      <c r="D48" s="32"/>
      <c r="E48" s="32"/>
      <c r="F48" s="32"/>
      <c r="G48" s="32"/>
      <c r="H48" s="32"/>
      <c r="I48" s="32"/>
      <c r="J48" s="32"/>
      <c r="K48" s="32"/>
      <c r="L48" s="32"/>
    </row>
    <row r="49" spans="3:12" x14ac:dyDescent="0.3">
      <c r="C49" s="32"/>
      <c r="D49" s="32"/>
      <c r="E49" s="32"/>
      <c r="F49" s="32"/>
      <c r="G49" s="32"/>
      <c r="H49" s="32"/>
      <c r="I49" s="32"/>
      <c r="J49" s="32"/>
      <c r="K49" s="32"/>
      <c r="L49" s="32"/>
    </row>
    <row r="50" spans="3:12" x14ac:dyDescent="0.3">
      <c r="C50" s="32"/>
      <c r="D50" s="32"/>
      <c r="E50" s="32"/>
      <c r="F50" s="32"/>
      <c r="G50" s="32"/>
      <c r="H50" s="32"/>
      <c r="I50" s="32"/>
      <c r="J50" s="32"/>
      <c r="K50" s="32"/>
      <c r="L50" s="32"/>
    </row>
    <row r="51" spans="3:12" x14ac:dyDescent="0.3">
      <c r="C51" s="32"/>
      <c r="D51" s="32"/>
      <c r="E51" s="32"/>
      <c r="F51" s="32"/>
      <c r="G51" s="32"/>
      <c r="H51" s="32"/>
      <c r="I51" s="32"/>
      <c r="J51" s="32"/>
      <c r="K51" s="32"/>
      <c r="L51" s="32"/>
    </row>
    <row r="52" spans="3:12" x14ac:dyDescent="0.3">
      <c r="C52" s="32"/>
      <c r="D52" s="32"/>
      <c r="E52" s="32"/>
      <c r="F52" s="32"/>
      <c r="G52" s="32"/>
      <c r="H52" s="32"/>
      <c r="I52" s="32"/>
      <c r="J52" s="32"/>
      <c r="K52" s="32"/>
      <c r="L52" s="32"/>
    </row>
    <row r="53" spans="3:12" x14ac:dyDescent="0.3">
      <c r="C53" s="32"/>
      <c r="D53" s="32"/>
      <c r="E53" s="32"/>
      <c r="F53" s="32"/>
      <c r="G53" s="32"/>
      <c r="H53" s="32"/>
      <c r="I53" s="32"/>
      <c r="J53" s="32"/>
      <c r="K53" s="32"/>
      <c r="L53" s="32"/>
    </row>
    <row r="54" spans="3:12" x14ac:dyDescent="0.3">
      <c r="C54" s="32"/>
      <c r="D54" s="32"/>
      <c r="E54" s="32"/>
      <c r="F54" s="32"/>
      <c r="G54" s="32"/>
      <c r="H54" s="32"/>
      <c r="I54" s="32"/>
      <c r="J54" s="32"/>
      <c r="K54" s="32"/>
      <c r="L54" s="32"/>
    </row>
    <row r="55" spans="3:12" x14ac:dyDescent="0.3">
      <c r="C55" s="32"/>
      <c r="D55" s="32"/>
      <c r="E55" s="32"/>
      <c r="F55" s="32"/>
      <c r="G55" s="32"/>
      <c r="H55" s="32"/>
      <c r="I55" s="32"/>
      <c r="J55" s="32"/>
      <c r="K55" s="32"/>
      <c r="L55" s="32"/>
    </row>
    <row r="56" spans="3:12" x14ac:dyDescent="0.3">
      <c r="C56" s="32"/>
      <c r="D56" s="32"/>
      <c r="E56" s="32"/>
      <c r="F56" s="32"/>
      <c r="G56" s="32"/>
      <c r="H56" s="32"/>
      <c r="I56" s="32"/>
      <c r="J56" s="32"/>
      <c r="K56" s="32"/>
      <c r="L56" s="32"/>
    </row>
    <row r="57" spans="3:12" x14ac:dyDescent="0.3">
      <c r="C57" s="32"/>
      <c r="D57" s="32"/>
      <c r="E57" s="32"/>
      <c r="F57" s="32"/>
      <c r="G57" s="32"/>
      <c r="H57" s="32"/>
      <c r="I57" s="32"/>
      <c r="J57" s="32"/>
      <c r="K57" s="32"/>
      <c r="L57" s="32"/>
    </row>
    <row r="58" spans="3:12" x14ac:dyDescent="0.3">
      <c r="C58" s="32"/>
      <c r="D58" s="32"/>
      <c r="E58" s="32"/>
      <c r="F58" s="32"/>
      <c r="G58" s="32"/>
      <c r="H58" s="32"/>
      <c r="I58" s="32"/>
      <c r="J58" s="32"/>
      <c r="K58" s="32"/>
      <c r="L58" s="32"/>
    </row>
    <row r="59" spans="3:12" x14ac:dyDescent="0.3">
      <c r="C59" s="32"/>
      <c r="D59" s="32"/>
      <c r="E59" s="32"/>
      <c r="F59" s="32"/>
      <c r="G59" s="32"/>
      <c r="H59" s="32"/>
      <c r="I59" s="32"/>
      <c r="J59" s="32"/>
      <c r="K59" s="32"/>
      <c r="L59" s="32"/>
    </row>
    <row r="60" spans="3:12" x14ac:dyDescent="0.3">
      <c r="C60" s="32"/>
      <c r="D60" s="32"/>
      <c r="E60" s="32"/>
      <c r="F60" s="32"/>
      <c r="G60" s="32"/>
      <c r="H60" s="32"/>
      <c r="I60" s="32"/>
      <c r="J60" s="32"/>
      <c r="K60" s="32"/>
      <c r="L60" s="32"/>
    </row>
    <row r="61" spans="3:12" x14ac:dyDescent="0.3">
      <c r="C61" s="32"/>
      <c r="D61" s="32"/>
      <c r="E61" s="32"/>
      <c r="F61" s="32"/>
      <c r="G61" s="32"/>
      <c r="H61" s="32"/>
      <c r="I61" s="32"/>
      <c r="J61" s="32"/>
      <c r="K61" s="32"/>
      <c r="L61" s="32"/>
    </row>
    <row r="62" spans="3:12" x14ac:dyDescent="0.3">
      <c r="C62" s="32"/>
      <c r="D62" s="32"/>
      <c r="E62" s="32"/>
      <c r="F62" s="32"/>
      <c r="G62" s="32"/>
      <c r="H62" s="32"/>
      <c r="I62" s="32"/>
      <c r="J62" s="32"/>
      <c r="K62" s="32"/>
      <c r="L62" s="32"/>
    </row>
    <row r="63" spans="3:12" x14ac:dyDescent="0.3">
      <c r="C63" s="32"/>
      <c r="D63" s="32"/>
      <c r="E63" s="32"/>
      <c r="F63" s="32"/>
      <c r="G63" s="32"/>
      <c r="H63" s="32"/>
      <c r="I63" s="32"/>
      <c r="J63" s="32"/>
      <c r="K63" s="32"/>
      <c r="L63" s="32"/>
    </row>
    <row r="64" spans="3:12" x14ac:dyDescent="0.3">
      <c r="C64" s="32"/>
      <c r="D64" s="32"/>
      <c r="E64" s="32"/>
      <c r="F64" s="32"/>
      <c r="G64" s="32"/>
      <c r="H64" s="32"/>
      <c r="I64" s="32"/>
      <c r="J64" s="32"/>
      <c r="K64" s="32"/>
      <c r="L64" s="32"/>
    </row>
    <row r="65" spans="3:12" x14ac:dyDescent="0.3">
      <c r="C65" s="32"/>
      <c r="D65" s="32"/>
      <c r="E65" s="32"/>
      <c r="F65" s="32"/>
      <c r="G65" s="32"/>
      <c r="H65" s="32"/>
      <c r="I65" s="32"/>
      <c r="J65" s="32"/>
      <c r="K65" s="32"/>
      <c r="L65" s="32"/>
    </row>
    <row r="66" spans="3:12" x14ac:dyDescent="0.3">
      <c r="C66" s="32"/>
      <c r="D66" s="32"/>
      <c r="E66" s="32"/>
      <c r="F66" s="32"/>
      <c r="G66" s="32"/>
      <c r="H66" s="32"/>
      <c r="I66" s="32"/>
      <c r="J66" s="32"/>
      <c r="K66" s="32"/>
      <c r="L66" s="32"/>
    </row>
    <row r="67" spans="3:12" x14ac:dyDescent="0.3">
      <c r="C67" s="32"/>
      <c r="D67" s="32"/>
      <c r="E67" s="32"/>
      <c r="F67" s="32"/>
      <c r="G67" s="32"/>
      <c r="H67" s="32"/>
      <c r="I67" s="32"/>
      <c r="J67" s="32"/>
      <c r="K67" s="32"/>
      <c r="L67" s="32"/>
    </row>
    <row r="68" spans="3:12" x14ac:dyDescent="0.3">
      <c r="C68" s="32"/>
      <c r="D68" s="32"/>
      <c r="E68" s="32"/>
      <c r="F68" s="32"/>
      <c r="G68" s="32"/>
      <c r="H68" s="32"/>
      <c r="I68" s="32"/>
      <c r="J68" s="32"/>
      <c r="K68" s="32"/>
      <c r="L68" s="32"/>
    </row>
    <row r="69" spans="3:12" x14ac:dyDescent="0.3">
      <c r="C69" s="32"/>
      <c r="D69" s="32"/>
      <c r="E69" s="32"/>
      <c r="F69" s="32"/>
      <c r="G69" s="32"/>
      <c r="H69" s="32"/>
      <c r="I69" s="32"/>
      <c r="J69" s="32"/>
      <c r="K69" s="32"/>
      <c r="L69" s="32"/>
    </row>
    <row r="70" spans="3:12" x14ac:dyDescent="0.3">
      <c r="C70" s="32"/>
      <c r="D70" s="32"/>
      <c r="E70" s="32"/>
      <c r="F70" s="32"/>
      <c r="G70" s="32"/>
      <c r="H70" s="32"/>
      <c r="I70" s="32"/>
      <c r="J70" s="32"/>
      <c r="K70" s="32"/>
      <c r="L70" s="32"/>
    </row>
    <row r="71" spans="3:12" x14ac:dyDescent="0.3">
      <c r="C71" s="32"/>
      <c r="D71" s="32"/>
      <c r="E71" s="32"/>
      <c r="F71" s="32"/>
      <c r="G71" s="32"/>
      <c r="H71" s="32"/>
      <c r="I71" s="32"/>
      <c r="J71" s="32"/>
      <c r="K71" s="32"/>
      <c r="L71" s="32"/>
    </row>
    <row r="72" spans="3:12" x14ac:dyDescent="0.3">
      <c r="C72" s="32"/>
      <c r="D72" s="32"/>
      <c r="E72" s="32"/>
      <c r="F72" s="32"/>
      <c r="G72" s="32"/>
      <c r="H72" s="32"/>
      <c r="I72" s="32"/>
      <c r="J72" s="32"/>
      <c r="K72" s="32"/>
      <c r="L72" s="32"/>
    </row>
    <row r="73" spans="3:12" x14ac:dyDescent="0.3">
      <c r="C73" s="32"/>
      <c r="D73" s="32"/>
      <c r="E73" s="32"/>
      <c r="F73" s="32"/>
      <c r="G73" s="32"/>
      <c r="H73" s="32"/>
      <c r="I73" s="32"/>
      <c r="J73" s="32"/>
      <c r="K73" s="32"/>
      <c r="L73" s="32"/>
    </row>
    <row r="74" spans="3:12" x14ac:dyDescent="0.3">
      <c r="C74" s="32"/>
      <c r="D74" s="32"/>
      <c r="E74" s="32"/>
      <c r="F74" s="32"/>
      <c r="G74" s="32"/>
      <c r="H74" s="32"/>
      <c r="I74" s="32"/>
      <c r="J74" s="32"/>
      <c r="K74" s="32"/>
      <c r="L74" s="32"/>
    </row>
    <row r="75" spans="3:12" x14ac:dyDescent="0.3">
      <c r="C75" s="32"/>
      <c r="D75" s="32"/>
      <c r="E75" s="32"/>
      <c r="F75" s="32"/>
      <c r="G75" s="32"/>
      <c r="H75" s="32"/>
      <c r="I75" s="32"/>
      <c r="J75" s="32"/>
      <c r="K75" s="32"/>
      <c r="L75" s="32"/>
    </row>
    <row r="76" spans="3:12" x14ac:dyDescent="0.3">
      <c r="C76" s="32"/>
      <c r="D76" s="32"/>
      <c r="E76" s="32"/>
      <c r="F76" s="32"/>
      <c r="G76" s="32"/>
      <c r="H76" s="32"/>
      <c r="I76" s="32"/>
      <c r="J76" s="32"/>
      <c r="K76" s="32"/>
      <c r="L76" s="32"/>
    </row>
    <row r="77" spans="3:12" x14ac:dyDescent="0.3">
      <c r="C77" s="32"/>
      <c r="D77" s="32"/>
      <c r="E77" s="32"/>
      <c r="F77" s="32"/>
      <c r="G77" s="32"/>
      <c r="H77" s="32"/>
      <c r="I77" s="32"/>
      <c r="J77" s="32"/>
      <c r="K77" s="32"/>
      <c r="L77" s="32"/>
    </row>
    <row r="78" spans="3:12" x14ac:dyDescent="0.3">
      <c r="C78" s="32"/>
      <c r="D78" s="32"/>
      <c r="E78" s="32"/>
      <c r="F78" s="32"/>
      <c r="G78" s="32"/>
      <c r="H78" s="32"/>
      <c r="I78" s="32"/>
      <c r="J78" s="32"/>
      <c r="K78" s="32"/>
      <c r="L78" s="32"/>
    </row>
    <row r="79" spans="3:12" x14ac:dyDescent="0.3">
      <c r="C79" s="32"/>
      <c r="D79" s="32"/>
      <c r="E79" s="32"/>
      <c r="F79" s="32"/>
      <c r="G79" s="32"/>
      <c r="H79" s="32"/>
      <c r="I79" s="32"/>
      <c r="J79" s="32"/>
      <c r="K79" s="32"/>
      <c r="L79" s="32"/>
    </row>
    <row r="80" spans="3:12" x14ac:dyDescent="0.3">
      <c r="C80" s="32"/>
      <c r="D80" s="32"/>
      <c r="E80" s="32"/>
      <c r="F80" s="32"/>
      <c r="G80" s="32"/>
      <c r="H80" s="32"/>
      <c r="I80" s="32"/>
      <c r="J80" s="32"/>
      <c r="K80" s="32"/>
      <c r="L80" s="32"/>
    </row>
    <row r="81" spans="3:12" x14ac:dyDescent="0.3">
      <c r="C81" s="32"/>
      <c r="D81" s="32"/>
      <c r="E81" s="32"/>
      <c r="F81" s="32"/>
      <c r="G81" s="32"/>
      <c r="H81" s="32"/>
      <c r="I81" s="32"/>
      <c r="J81" s="32"/>
      <c r="K81" s="32"/>
      <c r="L81" s="32"/>
    </row>
    <row r="82" spans="3:12" x14ac:dyDescent="0.3">
      <c r="C82" s="32"/>
      <c r="D82" s="32"/>
      <c r="E82" s="32"/>
      <c r="F82" s="32"/>
      <c r="G82" s="32"/>
      <c r="H82" s="32"/>
      <c r="I82" s="32"/>
      <c r="J82" s="32"/>
      <c r="K82" s="32"/>
      <c r="L82" s="32"/>
    </row>
    <row r="83" spans="3:12" x14ac:dyDescent="0.3">
      <c r="C83" s="32"/>
      <c r="D83" s="32"/>
      <c r="E83" s="32"/>
      <c r="F83" s="32"/>
      <c r="G83" s="32"/>
      <c r="H83" s="32"/>
      <c r="I83" s="32"/>
      <c r="J83" s="32"/>
      <c r="K83" s="32"/>
      <c r="L83" s="32"/>
    </row>
  </sheetData>
  <phoneticPr fontId="8" type="noConversion"/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Ass 7.1</vt:lpstr>
      <vt:lpstr>Ass 8</vt:lpstr>
      <vt:lpstr>Ass 8.1</vt:lpstr>
      <vt:lpstr>Ass 8.2</vt:lpstr>
      <vt:lpstr>Assignment 9</vt:lpstr>
      <vt:lpstr>'Ass 7.1'!Criteria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Akash Bakshi</dc:creator>
  <cp:lastModifiedBy>Akash Bakshi</cp:lastModifiedBy>
  <dcterms:created xsi:type="dcterms:W3CDTF">2015-06-05T18:17:20Z</dcterms:created>
  <dcterms:modified xsi:type="dcterms:W3CDTF">2024-07-10T10:35:45Z</dcterms:modified>
</cp:coreProperties>
</file>